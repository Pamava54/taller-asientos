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uta_4_horas" sheetId="2" state="visible" r:id="rId2"/>
    <sheet xmlns:r="http://schemas.openxmlformats.org/officeDocument/2006/relationships" name="Agenda" sheetId="3" state="visible" r:id="rId3"/>
    <sheet xmlns:r="http://schemas.openxmlformats.org/officeDocument/2006/relationships" name="Orden_Compra" sheetId="4" state="visible" r:id="rId4"/>
    <sheet xmlns:r="http://schemas.openxmlformats.org/officeDocument/2006/relationships" name="Entrada_Almacen" sheetId="5" state="visible" r:id="rId5"/>
    <sheet xmlns:r="http://schemas.openxmlformats.org/officeDocument/2006/relationships" name="Comprobante_Egreso" sheetId="6" state="visible" r:id="rId6"/>
    <sheet xmlns:r="http://schemas.openxmlformats.org/officeDocument/2006/relationships" name="NC_Recibida" sheetId="7" state="visible" r:id="rId7"/>
    <sheet xmlns:r="http://schemas.openxmlformats.org/officeDocument/2006/relationships" name="Factura_Venta" sheetId="8" state="visible" r:id="rId8"/>
    <sheet xmlns:r="http://schemas.openxmlformats.org/officeDocument/2006/relationships" name="Remision" sheetId="9" state="visible" r:id="rId9"/>
    <sheet xmlns:r="http://schemas.openxmlformats.org/officeDocument/2006/relationships" name="Recibo_Caja" sheetId="10" state="visible" r:id="rId10"/>
    <sheet xmlns:r="http://schemas.openxmlformats.org/officeDocument/2006/relationships" name="NC_Emitida" sheetId="11" state="visible" r:id="rId11"/>
    <sheet xmlns:r="http://schemas.openxmlformats.org/officeDocument/2006/relationships" name="Kardex_A" sheetId="12" state="visible" r:id="rId12"/>
    <sheet xmlns:r="http://schemas.openxmlformats.org/officeDocument/2006/relationships" name="Kardex_B" sheetId="13" state="visible" r:id="rId13"/>
    <sheet xmlns:r="http://schemas.openxmlformats.org/officeDocument/2006/relationships" name="Libro_Diario" sheetId="14" state="visible" r:id="rId14"/>
    <sheet xmlns:r="http://schemas.openxmlformats.org/officeDocument/2006/relationships" name="Catalogo" sheetId="15" state="visible" r:id="rId15"/>
    <sheet xmlns:r="http://schemas.openxmlformats.org/officeDocument/2006/relationships" name="Conciliacion" sheetId="16" state="visible" r:id="rId16"/>
    <sheet xmlns:r="http://schemas.openxmlformats.org/officeDocument/2006/relationships" name="Nomina" sheetId="17" state="visible" r:id="rId17"/>
    <sheet xmlns:r="http://schemas.openxmlformats.org/officeDocument/2006/relationships" name="Depreciacion" sheetId="18" state="visible" r:id="rId18"/>
    <sheet xmlns:r="http://schemas.openxmlformats.org/officeDocument/2006/relationships" name="IVA_Periodo" sheetId="19" state="visible" r:id="rId19"/>
    <sheet xmlns:r="http://schemas.openxmlformats.org/officeDocument/2006/relationships" name="Mayor" sheetId="20" state="visible" r:id="rId20"/>
    <sheet xmlns:r="http://schemas.openxmlformats.org/officeDocument/2006/relationships" name="Balance_Prueba" sheetId="21" state="visible" r:id="rId21"/>
    <sheet xmlns:r="http://schemas.openxmlformats.org/officeDocument/2006/relationships" name="Estados" sheetId="22" state="visible" r:id="rId22"/>
    <sheet xmlns:r="http://schemas.openxmlformats.org/officeDocument/2006/relationships" name="Parametro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3A5F"/>
      <sz val="13"/>
    </font>
    <font>
      <name val="Arial"/>
      <i val="1"/>
      <color rgb="005D6B7C"/>
      <sz val="9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7EB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pivotButton="0" quotePrefix="0" xfId="0"/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5" fillId="0" borderId="0" pivotButton="0" quotePrefix="0" xfId="0"/>
    <xf numFmtId="165" fontId="5" fillId="4" borderId="1" pivotButton="0" quotePrefix="0" xfId="0"/>
    <xf numFmtId="0" fontId="5" fillId="4" borderId="1" pivotButton="0" quotePrefix="0" xfId="0"/>
    <xf numFmtId="166" fontId="5" fillId="4" borderId="1" pivotButton="0" quotePrefix="0" xfId="0"/>
    <xf numFmtId="0" fontId="5" fillId="3" borderId="1" applyAlignment="1" pivotButton="0" quotePrefix="0" xfId="0">
      <alignment horizontal="center"/>
    </xf>
    <xf numFmtId="166" fontId="5" fillId="0" borderId="0" pivotButton="0" quotePrefix="0" xfId="0"/>
    <xf numFmtId="0" fontId="4" fillId="2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center"/>
    </xf>
    <xf numFmtId="0" fontId="9" fillId="0" borderId="0" pivotButton="0" quotePrefix="0" xfId="0"/>
    <xf numFmtId="1" fontId="5" fillId="4" borderId="1" pivotButton="0" quotePrefix="0" xfId="0"/>
    <xf numFmtId="0" fontId="5" fillId="0" borderId="1" pivotButton="0" quotePrefix="0" xfId="0"/>
    <xf numFmtId="166" fontId="5" fillId="0" borderId="1" pivotButton="0" quotePrefix="0" xfId="0"/>
    <xf numFmtId="166" fontId="6" fillId="0" borderId="1" pivotButton="0" quotePrefix="0" xfId="0"/>
    <xf numFmtId="0" fontId="6" fillId="3" borderId="0" pivotButton="0" quotePrefix="0" xfId="0"/>
    <xf numFmtId="0" fontId="0" fillId="2" borderId="0" pivotButton="0" quotePrefix="0" xfId="0"/>
    <xf numFmtId="166" fontId="6" fillId="3" borderId="1" applyAlignment="1" pivotButton="0" quotePrefix="0" xfId="0">
      <alignment horizontal="center"/>
    </xf>
    <xf numFmtId="9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Tecno Cedro S.A.S. – Cuaderno de trabajo, Fase 1 (noviembre de 2026)</t>
        </is>
      </c>
    </row>
    <row r="2">
      <c r="A2" s="2" t="inlineStr">
        <is>
          <t>NIT P-0009  |  Tu proveedor del anillo: Conexión Andes S.A.S. (NIT P-0012)  |  Tu cliente del anillo: Digital Ceiba S.A.S. (NIT P-0010)</t>
        </is>
      </c>
    </row>
    <row r="3">
      <c r="A3" s="2" t="inlineStr"/>
    </row>
    <row r="4">
      <c r="A4" s="3" t="inlineStr">
        <is>
          <t>Cómo se trabaja</t>
        </is>
      </c>
    </row>
    <row r="5">
      <c r="A5" s="2" t="inlineStr">
        <is>
          <t>1. Mira la hoja Agenda: son las compras, ventas y devoluciones del mes con tu proveedor y tu cliente del anillo.</t>
        </is>
      </c>
    </row>
    <row r="6">
      <c r="A6" s="2" t="inlineStr">
        <is>
          <t>2. Diligencia los formatos (celdas amarillas): Orden_Compra, Entrada_Almacen, Comprobante_Egreso, NC_Recibida, Factura_Venta, Remision, Recibo_Caja y NC_Emitida.</t>
        </is>
      </c>
    </row>
    <row r="7">
      <c r="A7" s="2" t="inlineStr">
        <is>
          <t>3. Lleva el Kardex_A y el Kardex_B con promedio ponderado, en orden de fecha. La primera fila (gris) ya trae lo comprado al proveedor externo.</t>
        </is>
      </c>
    </row>
    <row r="8">
      <c r="A8" s="2" t="inlineStr">
        <is>
          <t>4. Registra TODOS los asientos de noviembre en Libro_Diario, también los de la Fase 0 (los 15 documentos del PDF). Usa el Catalogo de cuentas.</t>
        </is>
      </c>
    </row>
    <row r="9">
      <c r="A9" s="2" t="inlineStr">
        <is>
          <t>5. Las columnas Control dicen OK o Revisar. Solo revisan la aritmética (subtotal, IVA, total, saldos y que cada asiento cuadre); la corrección completa la hace el profesor.</t>
        </is>
      </c>
    </row>
    <row r="10">
      <c r="A10" s="2" t="inlineStr"/>
    </row>
    <row r="11">
      <c r="A11" s="3" t="inlineStr">
        <is>
          <t>Colores</t>
        </is>
      </c>
    </row>
    <row r="12">
      <c r="A12" s="2" t="inlineStr">
        <is>
          <t>Amarillo = lo diligencias tú.  Gris = dato dado o fórmula de control.</t>
        </is>
      </c>
    </row>
    <row r="13">
      <c r="A13" s="2" t="inlineStr"/>
    </row>
    <row r="14">
      <c r="A14" s="3" t="inlineStr">
        <is>
          <t>Reglas del ejercicio</t>
        </is>
      </c>
    </row>
    <row r="15">
      <c r="A15" s="2" t="inlineStr">
        <is>
          <t>Todas las empresas del anillo compran y venden al precio de lista. IVA 19% sobre la base. Contado = se paga o cobra por Caja (1105). Crédito = 30 días (Proveedores 2205 / Clientes 1305).</t>
        </is>
      </c>
    </row>
    <row r="16">
      <c r="A16" s="2" t="inlineStr">
        <is>
          <t>Inventario por promedio ponderado móvil. Costo de una venta = ROUND(cantidad × saldo valor anterior ÷ saldo cantidad anterior, 0). El saldo en valor se lleva en pesos enteros.</t>
        </is>
      </c>
    </row>
    <row r="17">
      <c r="A17" s="2" t="inlineStr">
        <is>
          <t>Devolución en ventas: el producto reingresa al valor del costo de la venta original (proporcional a las unidades devueltas). Devolución en compras: sale al valor de la compra (sin IVA).</t>
        </is>
      </c>
    </row>
    <row r="18">
      <c r="A18" s="2" t="inlineStr">
        <is>
          <t>Ajuste de la toma física del 30 de noviembre: se valora al costo promedio del kardex en ese momento.</t>
        </is>
      </c>
    </row>
    <row r="19">
      <c r="A19" s="2" t="inlineStr">
        <is>
          <t>Numera tus documentos (OC, entradas, egresos, remisiones, recibos) de forma consecutiva. Las facturas y notas crédito del anillo usan los números de la Agenda.</t>
        </is>
      </c>
    </row>
    <row r="20">
      <c r="A20" s="2" t="inlineStr">
        <is>
          <t>Todos los datos son ficticios. Documento de práctica, sin valor fiscal.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  <col width="46" customWidth="1" min="3" max="3"/>
    <col width="28" customWidth="1" min="4" max="4"/>
  </cols>
  <sheetData>
    <row r="1">
      <c r="A1" s="4" t="inlineStr">
        <is>
          <t>Ruta sugerida para el taller de 4 horas</t>
        </is>
      </c>
    </row>
    <row r="3">
      <c r="A3" s="5" t="inlineStr">
        <is>
          <t>Tiempo</t>
        </is>
      </c>
      <c r="B3" s="5" t="inlineStr">
        <is>
          <t>Qué haces</t>
        </is>
      </c>
      <c r="C3" s="5" t="inlineStr">
        <is>
          <t>Hojas</t>
        </is>
      </c>
      <c r="D3" s="5" t="inlineStr">
        <is>
          <t>Obligatorio</t>
        </is>
      </c>
    </row>
    <row r="4">
      <c r="A4" s="6" t="inlineStr">
        <is>
          <t>0:00 – 0:15</t>
        </is>
      </c>
      <c r="B4" s="6" t="inlineStr">
        <is>
          <t>Lee la ficha de tu empresa (PDF) y la hoja Agenda.</t>
        </is>
      </c>
      <c r="C4" s="6" t="inlineStr">
        <is>
          <t>Instrucciones, Agenda</t>
        </is>
      </c>
      <c r="D4" s="6" t="inlineStr">
        <is>
          <t>Sí</t>
        </is>
      </c>
    </row>
    <row r="5">
      <c r="A5" s="6" t="inlineStr">
        <is>
          <t>0:15 – 1:15</t>
        </is>
      </c>
      <c r="B5" s="6" t="inlineStr">
        <is>
          <t>Fase 0: registra en el Libro_Diario los asientos de los 15 documentos del PDF.</t>
        </is>
      </c>
      <c r="C5" s="6" t="inlineStr">
        <is>
          <t>Libro_Diario, Catalogo</t>
        </is>
      </c>
      <c r="D5" s="6" t="inlineStr">
        <is>
          <t>Sí</t>
        </is>
      </c>
    </row>
    <row r="6">
      <c r="A6" s="6" t="inlineStr">
        <is>
          <t>1:15 – 2:30</t>
        </is>
      </c>
      <c r="B6" s="6" t="inlineStr">
        <is>
          <t>Fase 1: lleva el Kardex y registra compras, ventas y devoluciones con tu anillo. Los formatos (orden de compra, factura de venta, etc.) se diligencian según indique el profesor.</t>
        </is>
      </c>
      <c r="C6" s="6" t="inlineStr">
        <is>
          <t>Agenda, Kardex_A, Kardex_B, Libro_Diario; formatos opcionales</t>
        </is>
      </c>
      <c r="D6" s="6" t="inlineStr">
        <is>
          <t>Kardex y asientos: sí. Formatos: según tiempo</t>
        </is>
      </c>
    </row>
    <row r="7">
      <c r="A7" s="6" t="inlineStr">
        <is>
          <t>2:30 – 3:00</t>
        </is>
      </c>
      <c r="B7" s="6" t="inlineStr">
        <is>
          <t>Cierre del mes: conciliación bancaria, ajuste de toma física, nómina y depreciación.</t>
        </is>
      </c>
      <c r="C7" s="6" t="inlineStr">
        <is>
          <t>Conciliacion, Nomina, Depreciacion, Libro_Diario</t>
        </is>
      </c>
      <c r="D7" s="6" t="inlineStr">
        <is>
          <t>Sí</t>
        </is>
      </c>
    </row>
    <row r="8">
      <c r="A8" s="6" t="inlineStr">
        <is>
          <t>3:00 – 3:40</t>
        </is>
      </c>
      <c r="B8" s="6" t="inlineStr">
        <is>
          <t>Revisa que todo cuadre: IVA, Mayor, Balance de prueba y Estados financieros (se calculan solos). Corrige asientos descuadrados.</t>
        </is>
      </c>
      <c r="C8" s="6" t="inlineStr">
        <is>
          <t>IVA_Periodo, Mayor, Balance_Prueba, Estados</t>
        </is>
      </c>
      <c r="D8" s="6" t="inlineStr">
        <is>
          <t>Sí</t>
        </is>
      </c>
    </row>
    <row r="9">
      <c r="A9" s="6" t="inlineStr">
        <is>
          <t>3:40 – 4:00</t>
        </is>
      </c>
      <c r="B9" s="6" t="inlineStr">
        <is>
          <t>Entrega tu cuaderno al profesor y revisión conjunta.</t>
        </is>
      </c>
      <c r="C9" s="6" t="inlineStr">
        <is>
          <t>—</t>
        </is>
      </c>
      <c r="D9" s="6" t="inlineStr">
        <is>
          <t>Sí</t>
        </is>
      </c>
    </row>
    <row r="11">
      <c r="A11" s="7" t="inlineStr">
        <is>
          <t>Meta: que Balance_Prueba y Estados digan OK al final. Si algo da Revisar, busca el asiento que no cuadra.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8" customWidth="1" min="2" max="2"/>
    <col width="12" customWidth="1" min="3" max="3"/>
    <col width="28" customWidth="1" min="4" max="4"/>
    <col width="9" customWidth="1" min="5" max="5"/>
    <col width="9" customWidth="1" min="6" max="6"/>
    <col width="34" customWidth="1" min="7" max="7"/>
    <col width="10" customWidth="1" min="8" max="8"/>
    <col width="14" customWidth="1" min="9" max="9"/>
    <col width="11" customWidth="1" min="10" max="10"/>
    <col width="16" customWidth="1" min="11" max="11"/>
    <col width="16" customWidth="1" min="12" max="12"/>
  </cols>
  <sheetData>
    <row r="1" ht="42" customHeight="1">
      <c r="A1" s="8" t="inlineStr">
        <is>
          <t>Operación</t>
        </is>
      </c>
      <c r="B1" s="8" t="inlineStr">
        <is>
          <t>Tipo</t>
        </is>
      </c>
      <c r="C1" s="8" t="inlineStr">
        <is>
          <t>Fecha</t>
        </is>
      </c>
      <c r="D1" s="8" t="inlineStr">
        <is>
          <t>Contraparte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Producto</t>
        </is>
      </c>
      <c r="H1" s="8" t="inlineStr">
        <is>
          <t>Cantidad</t>
        </is>
      </c>
      <c r="I1" s="8" t="inlineStr">
        <is>
          <t>Valor unitario (sin IVA)</t>
        </is>
      </c>
      <c r="J1" s="8" t="inlineStr">
        <is>
          <t>Condición</t>
        </is>
      </c>
      <c r="K1" s="8" t="inlineStr">
        <is>
          <t>N° de factura o nota</t>
        </is>
      </c>
      <c r="L1" s="8" t="inlineStr">
        <is>
          <t>Factura afectada</t>
        </is>
      </c>
    </row>
    <row r="2">
      <c r="A2" s="9" t="inlineStr">
        <is>
          <t>C1</t>
        </is>
      </c>
      <c r="B2" s="9" t="inlineStr">
        <is>
          <t>Compra</t>
        </is>
      </c>
      <c r="C2" s="10" t="n">
        <v>46335</v>
      </c>
      <c r="D2" s="9" t="inlineStr">
        <is>
          <t>Conexión Andes S.A.S.</t>
        </is>
      </c>
      <c r="E2" s="9" t="inlineStr">
        <is>
          <t>P-0012</t>
        </is>
      </c>
      <c r="F2" s="9" t="inlineStr">
        <is>
          <t>TEC-002</t>
        </is>
      </c>
      <c r="G2" s="9" t="inlineStr">
        <is>
          <t>Teclado USB estándar</t>
        </is>
      </c>
      <c r="H2" s="9" t="n">
        <v>13</v>
      </c>
      <c r="I2" s="11" t="n">
        <v>46800</v>
      </c>
      <c r="J2" s="9" t="inlineStr">
        <is>
          <t>contado</t>
        </is>
      </c>
      <c r="K2" s="9" t="inlineStr">
        <is>
          <t>FV-A12-001</t>
        </is>
      </c>
      <c r="L2" s="9" t="inlineStr">
        <is>
          <t>—</t>
        </is>
      </c>
    </row>
    <row r="3">
      <c r="A3" s="9" t="inlineStr">
        <is>
          <t>C2</t>
        </is>
      </c>
      <c r="B3" s="9" t="inlineStr">
        <is>
          <t>Compra</t>
        </is>
      </c>
      <c r="C3" s="10" t="n">
        <v>46337</v>
      </c>
      <c r="D3" s="9" t="inlineStr">
        <is>
          <t>Conexión Andes S.A.S.</t>
        </is>
      </c>
      <c r="E3" s="9" t="inlineStr">
        <is>
          <t>P-0012</t>
        </is>
      </c>
      <c r="F3" s="9" t="inlineStr">
        <is>
          <t>TEC-001</t>
        </is>
      </c>
      <c r="G3" s="9" t="inlineStr">
        <is>
          <t>Mouse óptico USB</t>
        </is>
      </c>
      <c r="H3" s="9" t="n">
        <v>27</v>
      </c>
      <c r="I3" s="11" t="n">
        <v>23400</v>
      </c>
      <c r="J3" s="9" t="inlineStr">
        <is>
          <t>contado</t>
        </is>
      </c>
      <c r="K3" s="9" t="inlineStr">
        <is>
          <t>FV-A12-002</t>
        </is>
      </c>
      <c r="L3" s="9" t="inlineStr">
        <is>
          <t>—</t>
        </is>
      </c>
    </row>
    <row r="4">
      <c r="A4" s="9" t="inlineStr">
        <is>
          <t>V1</t>
        </is>
      </c>
      <c r="B4" s="9" t="inlineStr">
        <is>
          <t>Venta</t>
        </is>
      </c>
      <c r="C4" s="10" t="n">
        <v>46338</v>
      </c>
      <c r="D4" s="9" t="inlineStr">
        <is>
          <t>Digital Ceiba S.A.S.</t>
        </is>
      </c>
      <c r="E4" s="9" t="inlineStr">
        <is>
          <t>P-0010</t>
        </is>
      </c>
      <c r="F4" s="9" t="inlineStr">
        <is>
          <t>TEC-002</t>
        </is>
      </c>
      <c r="G4" s="9" t="inlineStr">
        <is>
          <t>Teclado USB estándar</t>
        </is>
      </c>
      <c r="H4" s="9" t="n">
        <v>13</v>
      </c>
      <c r="I4" s="11" t="n">
        <v>46800</v>
      </c>
      <c r="J4" s="9" t="inlineStr">
        <is>
          <t>contado</t>
        </is>
      </c>
      <c r="K4" s="9" t="inlineStr">
        <is>
          <t>FV-A09-001</t>
        </is>
      </c>
      <c r="L4" s="9" t="inlineStr">
        <is>
          <t>—</t>
        </is>
      </c>
    </row>
    <row r="5">
      <c r="A5" s="9" t="inlineStr">
        <is>
          <t>C3</t>
        </is>
      </c>
      <c r="B5" s="9" t="inlineStr">
        <is>
          <t>Compra</t>
        </is>
      </c>
      <c r="C5" s="10" t="n">
        <v>46339</v>
      </c>
      <c r="D5" s="9" t="inlineStr">
        <is>
          <t>Conexión Andes S.A.S.</t>
        </is>
      </c>
      <c r="E5" s="9" t="inlineStr">
        <is>
          <t>P-0012</t>
        </is>
      </c>
      <c r="F5" s="9" t="inlineStr">
        <is>
          <t>TEC-001</t>
        </is>
      </c>
      <c r="G5" s="9" t="inlineStr">
        <is>
          <t>Mouse óptico USB</t>
        </is>
      </c>
      <c r="H5" s="9" t="n">
        <v>11</v>
      </c>
      <c r="I5" s="11" t="n">
        <v>23400</v>
      </c>
      <c r="J5" s="9" t="inlineStr">
        <is>
          <t>crédito</t>
        </is>
      </c>
      <c r="K5" s="9" t="inlineStr">
        <is>
          <t>FV-A12-003</t>
        </is>
      </c>
      <c r="L5" s="9" t="inlineStr">
        <is>
          <t>—</t>
        </is>
      </c>
    </row>
    <row r="6">
      <c r="A6" s="9" t="inlineStr">
        <is>
          <t>C4</t>
        </is>
      </c>
      <c r="B6" s="9" t="inlineStr">
        <is>
          <t>Compra</t>
        </is>
      </c>
      <c r="C6" s="10" t="n">
        <v>46342</v>
      </c>
      <c r="D6" s="9" t="inlineStr">
        <is>
          <t>Conexión Andes S.A.S.</t>
        </is>
      </c>
      <c r="E6" s="9" t="inlineStr">
        <is>
          <t>P-0012</t>
        </is>
      </c>
      <c r="F6" s="9" t="inlineStr">
        <is>
          <t>TEC-002</t>
        </is>
      </c>
      <c r="G6" s="9" t="inlineStr">
        <is>
          <t>Teclado USB estándar</t>
        </is>
      </c>
      <c r="H6" s="9" t="n">
        <v>11</v>
      </c>
      <c r="I6" s="11" t="n">
        <v>46800</v>
      </c>
      <c r="J6" s="9" t="inlineStr">
        <is>
          <t>contado</t>
        </is>
      </c>
      <c r="K6" s="9" t="inlineStr">
        <is>
          <t>FV-A12-004</t>
        </is>
      </c>
      <c r="L6" s="9" t="inlineStr">
        <is>
          <t>—</t>
        </is>
      </c>
    </row>
    <row r="7">
      <c r="A7" s="9" t="inlineStr">
        <is>
          <t>V2</t>
        </is>
      </c>
      <c r="B7" s="9" t="inlineStr">
        <is>
          <t>Venta</t>
        </is>
      </c>
      <c r="C7" s="10" t="n">
        <v>46343</v>
      </c>
      <c r="D7" s="9" t="inlineStr">
        <is>
          <t>Digital Ceiba S.A.S.</t>
        </is>
      </c>
      <c r="E7" s="9" t="inlineStr">
        <is>
          <t>P-0010</t>
        </is>
      </c>
      <c r="F7" s="9" t="inlineStr">
        <is>
          <t>TEC-001</t>
        </is>
      </c>
      <c r="G7" s="9" t="inlineStr">
        <is>
          <t>Mouse óptico USB</t>
        </is>
      </c>
      <c r="H7" s="9" t="n">
        <v>27</v>
      </c>
      <c r="I7" s="11" t="n">
        <v>23400</v>
      </c>
      <c r="J7" s="9" t="inlineStr">
        <is>
          <t>contado</t>
        </is>
      </c>
      <c r="K7" s="9" t="inlineStr">
        <is>
          <t>FV-A09-002</t>
        </is>
      </c>
      <c r="L7" s="9" t="inlineStr">
        <is>
          <t>—</t>
        </is>
      </c>
    </row>
    <row r="8">
      <c r="A8" s="9" t="inlineStr">
        <is>
          <t>C5</t>
        </is>
      </c>
      <c r="B8" s="9" t="inlineStr">
        <is>
          <t>Compra</t>
        </is>
      </c>
      <c r="C8" s="10" t="n">
        <v>46344</v>
      </c>
      <c r="D8" s="9" t="inlineStr">
        <is>
          <t>Conexión Andes S.A.S.</t>
        </is>
      </c>
      <c r="E8" s="9" t="inlineStr">
        <is>
          <t>P-0012</t>
        </is>
      </c>
      <c r="F8" s="9" t="inlineStr">
        <is>
          <t>TEC-001</t>
        </is>
      </c>
      <c r="G8" s="9" t="inlineStr">
        <is>
          <t>Mouse óptico USB</t>
        </is>
      </c>
      <c r="H8" s="9" t="n">
        <v>10</v>
      </c>
      <c r="I8" s="11" t="n">
        <v>23400</v>
      </c>
      <c r="J8" s="9" t="inlineStr">
        <is>
          <t>crédito</t>
        </is>
      </c>
      <c r="K8" s="9" t="inlineStr">
        <is>
          <t>FV-A12-005</t>
        </is>
      </c>
      <c r="L8" s="9" t="inlineStr">
        <is>
          <t>—</t>
        </is>
      </c>
    </row>
    <row r="9">
      <c r="A9" s="9" t="inlineStr">
        <is>
          <t>V3</t>
        </is>
      </c>
      <c r="B9" s="9" t="inlineStr">
        <is>
          <t>Venta</t>
        </is>
      </c>
      <c r="C9" s="10" t="n">
        <v>46345</v>
      </c>
      <c r="D9" s="9" t="inlineStr">
        <is>
          <t>Digital Ceiba S.A.S.</t>
        </is>
      </c>
      <c r="E9" s="9" t="inlineStr">
        <is>
          <t>P-0010</t>
        </is>
      </c>
      <c r="F9" s="9" t="inlineStr">
        <is>
          <t>TEC-001</t>
        </is>
      </c>
      <c r="G9" s="9" t="inlineStr">
        <is>
          <t>Mouse óptico USB</t>
        </is>
      </c>
      <c r="H9" s="9" t="n">
        <v>11</v>
      </c>
      <c r="I9" s="11" t="n">
        <v>23400</v>
      </c>
      <c r="J9" s="9" t="inlineStr">
        <is>
          <t>crédito</t>
        </is>
      </c>
      <c r="K9" s="9" t="inlineStr">
        <is>
          <t>FV-A09-003</t>
        </is>
      </c>
      <c r="L9" s="9" t="inlineStr">
        <is>
          <t>—</t>
        </is>
      </c>
    </row>
    <row r="10">
      <c r="A10" s="9" t="inlineStr">
        <is>
          <t>C6</t>
        </is>
      </c>
      <c r="B10" s="9" t="inlineStr">
        <is>
          <t>Compra</t>
        </is>
      </c>
      <c r="C10" s="10" t="n">
        <v>46346</v>
      </c>
      <c r="D10" s="9" t="inlineStr">
        <is>
          <t>Conexión Andes S.A.S.</t>
        </is>
      </c>
      <c r="E10" s="9" t="inlineStr">
        <is>
          <t>P-0012</t>
        </is>
      </c>
      <c r="F10" s="9" t="inlineStr">
        <is>
          <t>TEC-001</t>
        </is>
      </c>
      <c r="G10" s="9" t="inlineStr">
        <is>
          <t>Mouse óptico USB</t>
        </is>
      </c>
      <c r="H10" s="9" t="n">
        <v>11</v>
      </c>
      <c r="I10" s="11" t="n">
        <v>23400</v>
      </c>
      <c r="J10" s="9" t="inlineStr">
        <is>
          <t>crédito</t>
        </is>
      </c>
      <c r="K10" s="9" t="inlineStr">
        <is>
          <t>FV-A12-006</t>
        </is>
      </c>
      <c r="L10" s="9" t="inlineStr">
        <is>
          <t>—</t>
        </is>
      </c>
    </row>
    <row r="11">
      <c r="A11" s="9" t="inlineStr">
        <is>
          <t>V4</t>
        </is>
      </c>
      <c r="B11" s="9" t="inlineStr">
        <is>
          <t>Venta</t>
        </is>
      </c>
      <c r="C11" s="10" t="n">
        <v>46349</v>
      </c>
      <c r="D11" s="9" t="inlineStr">
        <is>
          <t>Digital Ceiba S.A.S.</t>
        </is>
      </c>
      <c r="E11" s="9" t="inlineStr">
        <is>
          <t>P-0010</t>
        </is>
      </c>
      <c r="F11" s="9" t="inlineStr">
        <is>
          <t>TEC-002</t>
        </is>
      </c>
      <c r="G11" s="9" t="inlineStr">
        <is>
          <t>Teclado USB estándar</t>
        </is>
      </c>
      <c r="H11" s="9" t="n">
        <v>11</v>
      </c>
      <c r="I11" s="11" t="n">
        <v>46800</v>
      </c>
      <c r="J11" s="9" t="inlineStr">
        <is>
          <t>contado</t>
        </is>
      </c>
      <c r="K11" s="9" t="inlineStr">
        <is>
          <t>FV-A09-004</t>
        </is>
      </c>
      <c r="L11" s="9" t="inlineStr">
        <is>
          <t>—</t>
        </is>
      </c>
    </row>
    <row r="12">
      <c r="A12" s="9" t="inlineStr">
        <is>
          <t>V5</t>
        </is>
      </c>
      <c r="B12" s="9" t="inlineStr">
        <is>
          <t>Venta</t>
        </is>
      </c>
      <c r="C12" s="10" t="n">
        <v>46350</v>
      </c>
      <c r="D12" s="9" t="inlineStr">
        <is>
          <t>Digital Ceiba S.A.S.</t>
        </is>
      </c>
      <c r="E12" s="9" t="inlineStr">
        <is>
          <t>P-0010</t>
        </is>
      </c>
      <c r="F12" s="9" t="inlineStr">
        <is>
          <t>TEC-001</t>
        </is>
      </c>
      <c r="G12" s="9" t="inlineStr">
        <is>
          <t>Mouse óptico USB</t>
        </is>
      </c>
      <c r="H12" s="9" t="n">
        <v>10</v>
      </c>
      <c r="I12" s="11" t="n">
        <v>23400</v>
      </c>
      <c r="J12" s="9" t="inlineStr">
        <is>
          <t>crédito</t>
        </is>
      </c>
      <c r="K12" s="9" t="inlineStr">
        <is>
          <t>FV-A09-005</t>
        </is>
      </c>
      <c r="L12" s="9" t="inlineStr">
        <is>
          <t>—</t>
        </is>
      </c>
    </row>
    <row r="13">
      <c r="A13" s="9" t="inlineStr">
        <is>
          <t>DV</t>
        </is>
      </c>
      <c r="B13" s="9" t="inlineStr">
        <is>
          <t>Devolución en ventas (el cliente te devuelve)</t>
        </is>
      </c>
      <c r="C13" s="10" t="n">
        <v>46351</v>
      </c>
      <c r="D13" s="9" t="inlineStr">
        <is>
          <t>Digital Ceiba S.A.S.</t>
        </is>
      </c>
      <c r="E13" s="9" t="inlineStr">
        <is>
          <t>P-0010</t>
        </is>
      </c>
      <c r="F13" s="9" t="inlineStr">
        <is>
          <t>TEC-001</t>
        </is>
      </c>
      <c r="G13" s="9" t="inlineStr">
        <is>
          <t>Mouse óptico USB</t>
        </is>
      </c>
      <c r="H13" s="9" t="n">
        <v>2</v>
      </c>
      <c r="I13" s="11" t="n">
        <v>23400</v>
      </c>
      <c r="J13" s="9" t="inlineStr">
        <is>
          <t>—</t>
        </is>
      </c>
      <c r="K13" s="9" t="inlineStr">
        <is>
          <t>NC-A09-001</t>
        </is>
      </c>
      <c r="L13" s="9" t="inlineStr">
        <is>
          <t>FV-A09-003</t>
        </is>
      </c>
    </row>
    <row r="14">
      <c r="A14" s="9" t="inlineStr">
        <is>
          <t>V6</t>
        </is>
      </c>
      <c r="B14" s="9" t="inlineStr">
        <is>
          <t>Venta</t>
        </is>
      </c>
      <c r="C14" s="10" t="n">
        <v>46352</v>
      </c>
      <c r="D14" s="9" t="inlineStr">
        <is>
          <t>Digital Ceiba S.A.S.</t>
        </is>
      </c>
      <c r="E14" s="9" t="inlineStr">
        <is>
          <t>P-0010</t>
        </is>
      </c>
      <c r="F14" s="9" t="inlineStr">
        <is>
          <t>TEC-001</t>
        </is>
      </c>
      <c r="G14" s="9" t="inlineStr">
        <is>
          <t>Mouse óptico USB</t>
        </is>
      </c>
      <c r="H14" s="9" t="n">
        <v>11</v>
      </c>
      <c r="I14" s="11" t="n">
        <v>23400</v>
      </c>
      <c r="J14" s="9" t="inlineStr">
        <is>
          <t>crédito</t>
        </is>
      </c>
      <c r="K14" s="9" t="inlineStr">
        <is>
          <t>FV-A09-006</t>
        </is>
      </c>
      <c r="L14" s="9" t="inlineStr">
        <is>
          <t>—</t>
        </is>
      </c>
    </row>
    <row r="15">
      <c r="A15" s="9" t="inlineStr">
        <is>
          <t>DC</t>
        </is>
      </c>
      <c r="B15" s="9" t="inlineStr">
        <is>
          <t>Devolución en compras (tú devuelves)</t>
        </is>
      </c>
      <c r="C15" s="10" t="n">
        <v>46353</v>
      </c>
      <c r="D15" s="9" t="inlineStr">
        <is>
          <t>Conexión Andes S.A.S.</t>
        </is>
      </c>
      <c r="E15" s="9" t="inlineStr">
        <is>
          <t>P-0012</t>
        </is>
      </c>
      <c r="F15" s="9" t="inlineStr">
        <is>
          <t>TEC-001</t>
        </is>
      </c>
      <c r="G15" s="9" t="inlineStr">
        <is>
          <t>Mouse óptico USB</t>
        </is>
      </c>
      <c r="H15" s="9" t="n">
        <v>2</v>
      </c>
      <c r="I15" s="11" t="n">
        <v>23400</v>
      </c>
      <c r="J15" s="9" t="inlineStr">
        <is>
          <t>—</t>
        </is>
      </c>
      <c r="K15" s="9" t="inlineStr">
        <is>
          <t>NC-A12-001</t>
        </is>
      </c>
      <c r="L15" s="9" t="inlineStr">
        <is>
          <t>FV-A12-003</t>
        </is>
      </c>
    </row>
    <row r="17">
      <c r="A17" s="12" t="inlineStr">
        <is>
          <t>Compra: tu proveedor del anillo te factura. Venta: tú facturas a tu cliente con el número indicado. Las operaciones siguen el orden de las fechas.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orden</t>
        </is>
      </c>
      <c r="D1" s="8" t="inlineStr">
        <is>
          <t>Proveedor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Condición de pago</t>
        </is>
      </c>
      <c r="M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4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entrada</t>
        </is>
      </c>
      <c r="D1" s="8" t="inlineStr">
        <is>
          <t>N° orden de compra</t>
        </is>
      </c>
      <c r="E1" s="8" t="inlineStr">
        <is>
          <t>N° factura proveedor</t>
        </is>
      </c>
      <c r="F1" s="8" t="inlineStr">
        <is>
          <t>Código</t>
        </is>
      </c>
      <c r="G1" s="8" t="inlineStr">
        <is>
          <t>Cantidad recibida</t>
        </is>
      </c>
      <c r="H1" s="8" t="inlineStr">
        <is>
          <t>Valor unitario</t>
        </is>
      </c>
      <c r="I1" s="8" t="inlineStr">
        <is>
          <t>Valor total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6">
        <f>IF(OR(G2="",H2="",I2=""),"",IF(I2=G2*H2,"OK","Revisar"))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6">
        <f>IF(OR(G3="",H3="",I3=""),"",IF(I3=G3*H3,"OK","Revisar"))</f>
        <v/>
      </c>
    </row>
    <row r="4">
      <c r="A4" s="9" t="inlineStr">
        <is>
          <t>C3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6">
        <f>IF(OR(G4="",H4="",I4=""),"",IF(I4=G4*H4,"OK","Revisar"))</f>
        <v/>
      </c>
    </row>
    <row r="5">
      <c r="A5" s="9" t="inlineStr">
        <is>
          <t>C4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6">
        <f>IF(OR(G5="",H5="",I5=""),"",IF(I5=G5*H5,"OK","Revisar"))</f>
        <v/>
      </c>
    </row>
    <row r="6">
      <c r="A6" s="9" t="inlineStr">
        <is>
          <t>C5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6">
        <f>IF(OR(G6="",H6="",I6=""),"",IF(I6=G6*H6,"OK","Revisar"))</f>
        <v/>
      </c>
    </row>
    <row r="7">
      <c r="A7" s="9" t="inlineStr">
        <is>
          <t>C6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6">
        <f>IF(OR(G7="",H7="",I7=""),"",IF(I7=G7*H7,"OK","Revisar"))</f>
        <v/>
      </c>
    </row>
  </sheetData>
  <conditionalFormatting sqref="J2:J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4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comprobante</t>
        </is>
      </c>
      <c r="D1" s="8" t="inlineStr">
        <is>
          <t>Beneficiario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pagado</t>
        </is>
      </c>
      <c r="I1" s="8" t="inlineStr">
        <is>
          <t>Medio de pago</t>
        </is>
      </c>
      <c r="J1" s="8" t="inlineStr">
        <is>
          <t>Control</t>
        </is>
      </c>
    </row>
    <row r="2">
      <c r="A2" s="9" t="inlineStr">
        <is>
          <t>C1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C2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C4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Proveedor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DC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48235"/>
    <outlinePr summaryBelow="1" summaryRight="1"/>
    <pageSetUpPr/>
  </sheetPr>
  <dimension ref="A1:M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8" customWidth="1" min="4" max="4"/>
    <col width="10" customWidth="1" min="5" max="5"/>
    <col width="9" customWidth="1" min="6" max="6"/>
    <col width="10" customWidth="1" min="7" max="7"/>
    <col width="13" customWidth="1" min="8" max="8"/>
    <col width="14" customWidth="1" min="9" max="9"/>
    <col width="13" customWidth="1" min="10" max="10"/>
    <col width="14" customWidth="1" min="11" max="11"/>
    <col width="14" customWidth="1" min="12" max="12"/>
    <col width="10" customWidth="1" min="13" max="13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factura</t>
        </is>
      </c>
      <c r="D1" s="8" t="inlineStr">
        <is>
          <t>Cliente</t>
        </is>
      </c>
      <c r="E1" s="8" t="inlineStr">
        <is>
          <t>NIT</t>
        </is>
      </c>
      <c r="F1" s="8" t="inlineStr">
        <is>
          <t>Código</t>
        </is>
      </c>
      <c r="G1" s="8" t="inlineStr">
        <is>
          <t>Cantidad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Forma de pago</t>
        </is>
      </c>
      <c r="M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4" t="n"/>
      <c r="M2" s="16">
        <f>IF(OR(I2="",J2="",K2=""),"",IF(AND(J2=ROUND(I2*Parametros!$B$2,0),K2=I2+J2,I2=G2*H2),"OK","Revisar"))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5" t="n"/>
      <c r="I3" s="15" t="n"/>
      <c r="J3" s="15" t="n"/>
      <c r="K3" s="15" t="n"/>
      <c r="L3" s="14" t="n"/>
      <c r="M3" s="16">
        <f>IF(OR(I3="",J3="",K3=""),"",IF(AND(J3=ROUND(I3*Parametros!$B$2,0),K3=I3+J3,I3=G3*H3),"OK","Revisar"))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5" t="n"/>
      <c r="I4" s="15" t="n"/>
      <c r="J4" s="15" t="n"/>
      <c r="K4" s="15" t="n"/>
      <c r="L4" s="14" t="n"/>
      <c r="M4" s="16">
        <f>IF(OR(I4="",J4="",K4=""),"",IF(AND(J4=ROUND(I4*Parametros!$B$2,0),K4=I4+J4,I4=G4*H4),"OK","Revisar"))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5" t="n"/>
      <c r="I5" s="15" t="n"/>
      <c r="J5" s="15" t="n"/>
      <c r="K5" s="15" t="n"/>
      <c r="L5" s="14" t="n"/>
      <c r="M5" s="16">
        <f>IF(OR(I5="",J5="",K5=""),"",IF(AND(J5=ROUND(I5*Parametros!$B$2,0),K5=I5+J5,I5=G5*H5),"OK","Revisar"))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5" t="n"/>
      <c r="I6" s="15" t="n"/>
      <c r="J6" s="15" t="n"/>
      <c r="K6" s="15" t="n"/>
      <c r="L6" s="14" t="n"/>
      <c r="M6" s="16">
        <f>IF(OR(I6="",J6="",K6=""),"",IF(AND(J6=ROUND(I6*Parametros!$B$2,0),K6=I6+J6,I6=G6*H6),"OK","Revisar"))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5" t="n"/>
      <c r="I7" s="15" t="n"/>
      <c r="J7" s="15" t="n"/>
      <c r="K7" s="15" t="n"/>
      <c r="L7" s="14" t="n"/>
      <c r="M7" s="16">
        <f>IF(OR(I7="",J7="",K7=""),"",IF(AND(J7=ROUND(I7*Parametros!$B$2,0),K7=I7+J7,I7=G7*H7),"OK","Revisar"))</f>
        <v/>
      </c>
    </row>
  </sheetData>
  <conditionalFormatting sqref="M2:M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48235"/>
    <outlinePr summaryBelow="1" summaryRight="1"/>
    <pageSetUpPr/>
  </sheetPr>
  <dimension ref="A1:H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28" customWidth="1" min="5" max="5"/>
    <col width="9" customWidth="1" min="6" max="6"/>
    <col width="14" customWidth="1" min="7" max="7"/>
    <col width="10" customWidth="1" min="8" max="8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remisión</t>
        </is>
      </c>
      <c r="D1" s="8" t="inlineStr">
        <is>
          <t>N° factura</t>
        </is>
      </c>
      <c r="E1" s="8" t="inlineStr">
        <is>
          <t>Cliente</t>
        </is>
      </c>
      <c r="F1" s="8" t="inlineStr">
        <is>
          <t>Código</t>
        </is>
      </c>
      <c r="G1" s="8" t="inlineStr">
        <is>
          <t>Cantidad despachada</t>
        </is>
      </c>
      <c r="H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4" t="n"/>
      <c r="G2" s="14" t="n"/>
      <c r="H2" s="16">
        <f>IF(G2="","",IF(AND(ISNUMBER(G2),G2&gt;0),"OK","Revisar"))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4" t="n"/>
      <c r="G3" s="14" t="n"/>
      <c r="H3" s="16">
        <f>IF(G3="","",IF(AND(ISNUMBER(G3),G3&gt;0),"OK","Revisar"))</f>
        <v/>
      </c>
    </row>
    <row r="4">
      <c r="A4" s="9" t="inlineStr">
        <is>
          <t>V3</t>
        </is>
      </c>
      <c r="B4" s="13" t="n"/>
      <c r="C4" s="14" t="n"/>
      <c r="D4" s="14" t="n"/>
      <c r="E4" s="14" t="n"/>
      <c r="F4" s="14" t="n"/>
      <c r="G4" s="14" t="n"/>
      <c r="H4" s="16">
        <f>IF(G4="","",IF(AND(ISNUMBER(G4),G4&gt;0),"OK","Revisar"))</f>
        <v/>
      </c>
    </row>
    <row r="5">
      <c r="A5" s="9" t="inlineStr">
        <is>
          <t>V4</t>
        </is>
      </c>
      <c r="B5" s="13" t="n"/>
      <c r="C5" s="14" t="n"/>
      <c r="D5" s="14" t="n"/>
      <c r="E5" s="14" t="n"/>
      <c r="F5" s="14" t="n"/>
      <c r="G5" s="14" t="n"/>
      <c r="H5" s="16">
        <f>IF(G5="","",IF(AND(ISNUMBER(G5),G5&gt;0),"OK","Revisar"))</f>
        <v/>
      </c>
    </row>
    <row r="6">
      <c r="A6" s="9" t="inlineStr">
        <is>
          <t>V5</t>
        </is>
      </c>
      <c r="B6" s="13" t="n"/>
      <c r="C6" s="14" t="n"/>
      <c r="D6" s="14" t="n"/>
      <c r="E6" s="14" t="n"/>
      <c r="F6" s="14" t="n"/>
      <c r="G6" s="14" t="n"/>
      <c r="H6" s="16">
        <f>IF(G6="","",IF(AND(ISNUMBER(G6),G6&gt;0),"OK","Revisar"))</f>
        <v/>
      </c>
    </row>
    <row r="7">
      <c r="A7" s="9" t="inlineStr">
        <is>
          <t>V6</t>
        </is>
      </c>
      <c r="B7" s="13" t="n"/>
      <c r="C7" s="14" t="n"/>
      <c r="D7" s="14" t="n"/>
      <c r="E7" s="14" t="n"/>
      <c r="F7" s="14" t="n"/>
      <c r="G7" s="14" t="n"/>
      <c r="H7" s="16">
        <f>IF(G7="","",IF(AND(ISNUMBER(G7),G7&gt;0),"OK","Revisar"))</f>
        <v/>
      </c>
    </row>
  </sheetData>
  <conditionalFormatting sqref="H2:H7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28" customWidth="1" min="4" max="4"/>
    <col width="18" customWidth="1" min="5" max="5"/>
    <col width="14" customWidth="1" min="6" max="6"/>
    <col width="13" customWidth="1" min="7" max="7"/>
    <col width="14" customWidth="1" min="8" max="8"/>
    <col width="12" customWidth="1" min="9" max="9"/>
    <col width="10" customWidth="1" min="10" max="10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recibo</t>
        </is>
      </c>
      <c r="D1" s="8" t="inlineStr">
        <is>
          <t>Recibido de</t>
        </is>
      </c>
      <c r="E1" s="8" t="inlineStr">
        <is>
          <t>Concepto (N° factura)</t>
        </is>
      </c>
      <c r="F1" s="8" t="inlineStr">
        <is>
          <t>Valor base</t>
        </is>
      </c>
      <c r="G1" s="8" t="inlineStr">
        <is>
          <t>IVA</t>
        </is>
      </c>
      <c r="H1" s="8" t="inlineStr">
        <is>
          <t>Valor recibido</t>
        </is>
      </c>
      <c r="I1" s="8" t="inlineStr">
        <is>
          <t>Forma</t>
        </is>
      </c>
      <c r="J1" s="8" t="inlineStr">
        <is>
          <t>Control</t>
        </is>
      </c>
    </row>
    <row r="2">
      <c r="A2" s="9" t="inlineStr">
        <is>
          <t>V1</t>
        </is>
      </c>
      <c r="B2" s="13" t="n"/>
      <c r="C2" s="14" t="n"/>
      <c r="D2" s="14" t="n"/>
      <c r="E2" s="14" t="n"/>
      <c r="F2" s="15" t="n"/>
      <c r="G2" s="15" t="n"/>
      <c r="H2" s="15" t="n"/>
      <c r="I2" s="14" t="n"/>
      <c r="J2" s="16">
        <f>IF(OR(F2="",G2="",H2=""),"",IF(AND(G2=ROUND(F2*Parametros!$B$2,0),H2=F2+G2),"OK","Revisar"))</f>
        <v/>
      </c>
    </row>
    <row r="3">
      <c r="A3" s="9" t="inlineStr">
        <is>
          <t>V2</t>
        </is>
      </c>
      <c r="B3" s="13" t="n"/>
      <c r="C3" s="14" t="n"/>
      <c r="D3" s="14" t="n"/>
      <c r="E3" s="14" t="n"/>
      <c r="F3" s="15" t="n"/>
      <c r="G3" s="15" t="n"/>
      <c r="H3" s="15" t="n"/>
      <c r="I3" s="14" t="n"/>
      <c r="J3" s="16">
        <f>IF(OR(F3="",G3="",H3=""),"",IF(AND(G3=ROUND(F3*Parametros!$B$2,0),H3=F3+G3),"OK","Revisar"))</f>
        <v/>
      </c>
    </row>
    <row r="4">
      <c r="A4" s="9" t="inlineStr">
        <is>
          <t>V4</t>
        </is>
      </c>
      <c r="B4" s="13" t="n"/>
      <c r="C4" s="14" t="n"/>
      <c r="D4" s="14" t="n"/>
      <c r="E4" s="14" t="n"/>
      <c r="F4" s="15" t="n"/>
      <c r="G4" s="15" t="n"/>
      <c r="H4" s="15" t="n"/>
      <c r="I4" s="14" t="n"/>
      <c r="J4" s="16">
        <f>IF(OR(F4="",G4="",H4=""),"",IF(AND(G4=ROUND(F4*Parametros!$B$2,0),H4=F4+G4),"OK","Revisar"))</f>
        <v/>
      </c>
    </row>
  </sheetData>
  <conditionalFormatting sqref="J2:J4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48235"/>
    <outlinePr summaryBelow="1" summaryRight="1"/>
    <pageSetUpPr/>
  </sheetPr>
  <dimension ref="A1:L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5" customWidth="1" min="3" max="3"/>
    <col width="28" customWidth="1" min="4" max="4"/>
    <col width="16" customWidth="1" min="5" max="5"/>
    <col width="9" customWidth="1" min="6" max="6"/>
    <col width="12" customWidth="1" min="7" max="7"/>
    <col width="13" customWidth="1" min="8" max="8"/>
    <col width="14" customWidth="1" min="9" max="9"/>
    <col width="13" customWidth="1" min="10" max="10"/>
    <col width="14" customWidth="1" min="11" max="11"/>
    <col width="10" customWidth="1" min="12" max="12"/>
  </cols>
  <sheetData>
    <row r="1" ht="42" customHeight="1">
      <c r="A1" s="8" t="inlineStr">
        <is>
          <t>Operación</t>
        </is>
      </c>
      <c r="B1" s="8" t="inlineStr">
        <is>
          <t>Fecha</t>
        </is>
      </c>
      <c r="C1" s="8" t="inlineStr">
        <is>
          <t>N° nota crédito</t>
        </is>
      </c>
      <c r="D1" s="8" t="inlineStr">
        <is>
          <t>Cliente</t>
        </is>
      </c>
      <c r="E1" s="8" t="inlineStr">
        <is>
          <t>Factura afectada</t>
        </is>
      </c>
      <c r="F1" s="8" t="inlineStr">
        <is>
          <t>Código</t>
        </is>
      </c>
      <c r="G1" s="8" t="inlineStr">
        <is>
          <t>Cantidad devuelta</t>
        </is>
      </c>
      <c r="H1" s="8" t="inlineStr">
        <is>
          <t>Valor unitario</t>
        </is>
      </c>
      <c r="I1" s="8" t="inlineStr">
        <is>
          <t>Subtotal</t>
        </is>
      </c>
      <c r="J1" s="8" t="inlineStr">
        <is>
          <t>IVA 19%</t>
        </is>
      </c>
      <c r="K1" s="8" t="inlineStr">
        <is>
          <t>Total</t>
        </is>
      </c>
      <c r="L1" s="8" t="inlineStr">
        <is>
          <t>Control</t>
        </is>
      </c>
    </row>
    <row r="2">
      <c r="A2" s="9" t="inlineStr">
        <is>
          <t>DV</t>
        </is>
      </c>
      <c r="B2" s="13" t="n"/>
      <c r="C2" s="14" t="n"/>
      <c r="D2" s="14" t="n"/>
      <c r="E2" s="14" t="n"/>
      <c r="F2" s="14" t="n"/>
      <c r="G2" s="14" t="n"/>
      <c r="H2" s="15" t="n"/>
      <c r="I2" s="15" t="n"/>
      <c r="J2" s="15" t="n"/>
      <c r="K2" s="15" t="n"/>
      <c r="L2" s="16">
        <f>IF(OR(I2="",J2="",K2=""),"",IF(AND(J2=ROUND(I2*Parametros!$B$2,0),K2=I2+J2,I2=G2*H2),"OK","Revisar"))</f>
        <v/>
      </c>
    </row>
  </sheetData>
  <conditionalFormatting sqref="L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46330</v>
      </c>
      <c r="B2" s="9" t="inlineStr">
        <is>
          <t>FV-P-0033</t>
        </is>
      </c>
      <c r="C2" s="9" t="inlineStr">
        <is>
          <t>Compra al proveedor externo (Fase 0)</t>
        </is>
      </c>
      <c r="D2" s="9" t="n">
        <v>195</v>
      </c>
      <c r="E2" s="11" t="n">
        <v>18000</v>
      </c>
      <c r="F2" s="11" t="n">
        <v>3510000</v>
      </c>
      <c r="G2" s="14" t="n"/>
      <c r="H2" s="15" t="n"/>
      <c r="I2" s="15" t="n"/>
      <c r="J2" s="9" t="n">
        <v>195</v>
      </c>
      <c r="K2" s="11" t="n">
        <v>18000</v>
      </c>
      <c r="L2" s="11" t="n">
        <v>3510000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TEC-001 – Mouse óptico USB.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BF8F00"/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11" customWidth="1" min="4" max="4"/>
    <col width="13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0" customWidth="1" min="13" max="13"/>
  </cols>
  <sheetData>
    <row r="1" ht="42" customHeight="1">
      <c r="A1" s="8" t="inlineStr">
        <is>
          <t>Fecha</t>
        </is>
      </c>
      <c r="B1" s="8" t="inlineStr">
        <is>
          <t>Documento</t>
        </is>
      </c>
      <c r="C1" s="8" t="inlineStr">
        <is>
          <t>Detalle</t>
        </is>
      </c>
      <c r="D1" s="8" t="inlineStr">
        <is>
          <t>Entrada cant.</t>
        </is>
      </c>
      <c r="E1" s="8" t="inlineStr">
        <is>
          <t>Entrada v. unit.</t>
        </is>
      </c>
      <c r="F1" s="8" t="inlineStr">
        <is>
          <t>Entrada valor</t>
        </is>
      </c>
      <c r="G1" s="8" t="inlineStr">
        <is>
          <t>Salida cant.</t>
        </is>
      </c>
      <c r="H1" s="8" t="inlineStr">
        <is>
          <t>Salida v. unit.</t>
        </is>
      </c>
      <c r="I1" s="8" t="inlineStr">
        <is>
          <t>Salida valor</t>
        </is>
      </c>
      <c r="J1" s="8" t="inlineStr">
        <is>
          <t>Saldo cant.</t>
        </is>
      </c>
      <c r="K1" s="8" t="inlineStr">
        <is>
          <t>Saldo v. unit.</t>
        </is>
      </c>
      <c r="L1" s="8" t="inlineStr">
        <is>
          <t>Saldo valor</t>
        </is>
      </c>
      <c r="M1" s="8" t="inlineStr">
        <is>
          <t>Control</t>
        </is>
      </c>
    </row>
    <row r="2">
      <c r="A2" s="10" t="n">
        <v>46332</v>
      </c>
      <c r="B2" s="9" t="inlineStr">
        <is>
          <t>FV-P-0034</t>
        </is>
      </c>
      <c r="C2" s="9" t="inlineStr">
        <is>
          <t>Compra al proveedor externo (Fase 0)</t>
        </is>
      </c>
      <c r="D2" s="9" t="n">
        <v>105</v>
      </c>
      <c r="E2" s="11" t="n">
        <v>36000</v>
      </c>
      <c r="F2" s="11" t="n">
        <v>3780000</v>
      </c>
      <c r="G2" s="14" t="n"/>
      <c r="H2" s="15" t="n"/>
      <c r="I2" s="15" t="n"/>
      <c r="J2" s="9" t="n">
        <v>105</v>
      </c>
      <c r="K2" s="11" t="n">
        <v>36000</v>
      </c>
      <c r="L2" s="11" t="n">
        <v>3780000</v>
      </c>
      <c r="M2" s="16" t="inlineStr">
        <is>
          <t>inicio</t>
        </is>
      </c>
    </row>
    <row r="3">
      <c r="A3" s="13" t="n"/>
      <c r="B3" s="14" t="n"/>
      <c r="C3" s="14" t="n"/>
      <c r="D3" s="14" t="n"/>
      <c r="E3" s="15" t="n"/>
      <c r="F3" s="15" t="n"/>
      <c r="G3" s="14" t="n"/>
      <c r="H3" s="15" t="n"/>
      <c r="I3" s="15" t="n"/>
      <c r="J3" s="14" t="n"/>
      <c r="K3" s="15" t="n"/>
      <c r="L3" s="15" t="n"/>
      <c r="M3" s="16">
        <f>IF(J3="","",IF(AND(J3=J2+N(D3)-N(G3),L3=L2+N(F3)-N(I3),J3&gt;=0),"OK","Revisar"))</f>
        <v/>
      </c>
    </row>
    <row r="4">
      <c r="A4" s="13" t="n"/>
      <c r="B4" s="14" t="n"/>
      <c r="C4" s="14" t="n"/>
      <c r="D4" s="14" t="n"/>
      <c r="E4" s="15" t="n"/>
      <c r="F4" s="15" t="n"/>
      <c r="G4" s="14" t="n"/>
      <c r="H4" s="15" t="n"/>
      <c r="I4" s="15" t="n"/>
      <c r="J4" s="14" t="n"/>
      <c r="K4" s="15" t="n"/>
      <c r="L4" s="15" t="n"/>
      <c r="M4" s="16">
        <f>IF(J4="","",IF(AND(J4=J3+N(D4)-N(G4),L4=L3+N(F4)-N(I4),J4&gt;=0),"OK","Revisar"))</f>
        <v/>
      </c>
    </row>
    <row r="5">
      <c r="A5" s="13" t="n"/>
      <c r="B5" s="14" t="n"/>
      <c r="C5" s="14" t="n"/>
      <c r="D5" s="14" t="n"/>
      <c r="E5" s="15" t="n"/>
      <c r="F5" s="15" t="n"/>
      <c r="G5" s="14" t="n"/>
      <c r="H5" s="15" t="n"/>
      <c r="I5" s="15" t="n"/>
      <c r="J5" s="14" t="n"/>
      <c r="K5" s="15" t="n"/>
      <c r="L5" s="15" t="n"/>
      <c r="M5" s="16">
        <f>IF(J5="","",IF(AND(J5=J4+N(D5)-N(G5),L5=L4+N(F5)-N(I5),J5&gt;=0),"OK","Revisar"))</f>
        <v/>
      </c>
    </row>
    <row r="6">
      <c r="A6" s="13" t="n"/>
      <c r="B6" s="14" t="n"/>
      <c r="C6" s="14" t="n"/>
      <c r="D6" s="14" t="n"/>
      <c r="E6" s="15" t="n"/>
      <c r="F6" s="15" t="n"/>
      <c r="G6" s="14" t="n"/>
      <c r="H6" s="15" t="n"/>
      <c r="I6" s="15" t="n"/>
      <c r="J6" s="14" t="n"/>
      <c r="K6" s="15" t="n"/>
      <c r="L6" s="15" t="n"/>
      <c r="M6" s="16">
        <f>IF(J6="","",IF(AND(J6=J5+N(D6)-N(G6),L6=L5+N(F6)-N(I6),J6&gt;=0),"OK","Revisar"))</f>
        <v/>
      </c>
    </row>
    <row r="7">
      <c r="A7" s="13" t="n"/>
      <c r="B7" s="14" t="n"/>
      <c r="C7" s="14" t="n"/>
      <c r="D7" s="14" t="n"/>
      <c r="E7" s="15" t="n"/>
      <c r="F7" s="15" t="n"/>
      <c r="G7" s="14" t="n"/>
      <c r="H7" s="15" t="n"/>
      <c r="I7" s="15" t="n"/>
      <c r="J7" s="14" t="n"/>
      <c r="K7" s="15" t="n"/>
      <c r="L7" s="15" t="n"/>
      <c r="M7" s="16">
        <f>IF(J7="","",IF(AND(J7=J6+N(D7)-N(G7),L7=L6+N(F7)-N(I7),J7&gt;=0),"OK","Revisar"))</f>
        <v/>
      </c>
    </row>
    <row r="8">
      <c r="A8" s="13" t="n"/>
      <c r="B8" s="14" t="n"/>
      <c r="C8" s="14" t="n"/>
      <c r="D8" s="14" t="n"/>
      <c r="E8" s="15" t="n"/>
      <c r="F8" s="15" t="n"/>
      <c r="G8" s="14" t="n"/>
      <c r="H8" s="15" t="n"/>
      <c r="I8" s="15" t="n"/>
      <c r="J8" s="14" t="n"/>
      <c r="K8" s="15" t="n"/>
      <c r="L8" s="15" t="n"/>
      <c r="M8" s="16">
        <f>IF(J8="","",IF(AND(J8=J7+N(D8)-N(G8),L8=L7+N(F8)-N(I8),J8&gt;=0),"OK","Revisar"))</f>
        <v/>
      </c>
    </row>
    <row r="9">
      <c r="A9" s="13" t="n"/>
      <c r="B9" s="14" t="n"/>
      <c r="C9" s="14" t="n"/>
      <c r="D9" s="14" t="n"/>
      <c r="E9" s="15" t="n"/>
      <c r="F9" s="15" t="n"/>
      <c r="G9" s="14" t="n"/>
      <c r="H9" s="15" t="n"/>
      <c r="I9" s="15" t="n"/>
      <c r="J9" s="14" t="n"/>
      <c r="K9" s="15" t="n"/>
      <c r="L9" s="15" t="n"/>
      <c r="M9" s="16">
        <f>IF(J9="","",IF(AND(J9=J8+N(D9)-N(G9),L9=L8+N(F9)-N(I9),J9&gt;=0),"OK","Revisar"))</f>
        <v/>
      </c>
    </row>
    <row r="10">
      <c r="A10" s="13" t="n"/>
      <c r="B10" s="14" t="n"/>
      <c r="C10" s="14" t="n"/>
      <c r="D10" s="14" t="n"/>
      <c r="E10" s="15" t="n"/>
      <c r="F10" s="15" t="n"/>
      <c r="G10" s="14" t="n"/>
      <c r="H10" s="15" t="n"/>
      <c r="I10" s="15" t="n"/>
      <c r="J10" s="14" t="n"/>
      <c r="K10" s="15" t="n"/>
      <c r="L10" s="15" t="n"/>
      <c r="M10" s="16">
        <f>IF(J10="","",IF(AND(J10=J9+N(D10)-N(G10),L10=L9+N(F10)-N(I10),J10&gt;=0),"OK","Revisar"))</f>
        <v/>
      </c>
    </row>
    <row r="11">
      <c r="A11" s="13" t="n"/>
      <c r="B11" s="14" t="n"/>
      <c r="C11" s="14" t="n"/>
      <c r="D11" s="14" t="n"/>
      <c r="E11" s="15" t="n"/>
      <c r="F11" s="15" t="n"/>
      <c r="G11" s="14" t="n"/>
      <c r="H11" s="15" t="n"/>
      <c r="I11" s="15" t="n"/>
      <c r="J11" s="14" t="n"/>
      <c r="K11" s="15" t="n"/>
      <c r="L11" s="15" t="n"/>
      <c r="M11" s="16">
        <f>IF(J11="","",IF(AND(J11=J10+N(D11)-N(G11),L11=L10+N(F11)-N(I11),J11&gt;=0),"OK","Revisar"))</f>
        <v/>
      </c>
    </row>
    <row r="12">
      <c r="A12" s="13" t="n"/>
      <c r="B12" s="14" t="n"/>
      <c r="C12" s="14" t="n"/>
      <c r="D12" s="14" t="n"/>
      <c r="E12" s="15" t="n"/>
      <c r="F12" s="15" t="n"/>
      <c r="G12" s="14" t="n"/>
      <c r="H12" s="15" t="n"/>
      <c r="I12" s="15" t="n"/>
      <c r="J12" s="14" t="n"/>
      <c r="K12" s="15" t="n"/>
      <c r="L12" s="15" t="n"/>
      <c r="M12" s="16">
        <f>IF(J12="","",IF(AND(J12=J11+N(D12)-N(G12),L12=L11+N(F12)-N(I12),J12&gt;=0),"OK","Revisar"))</f>
        <v/>
      </c>
    </row>
    <row r="13">
      <c r="A13" s="13" t="n"/>
      <c r="B13" s="14" t="n"/>
      <c r="C13" s="14" t="n"/>
      <c r="D13" s="14" t="n"/>
      <c r="E13" s="15" t="n"/>
      <c r="F13" s="15" t="n"/>
      <c r="G13" s="14" t="n"/>
      <c r="H13" s="15" t="n"/>
      <c r="I13" s="15" t="n"/>
      <c r="J13" s="14" t="n"/>
      <c r="K13" s="15" t="n"/>
      <c r="L13" s="15" t="n"/>
      <c r="M13" s="16">
        <f>IF(J13="","",IF(AND(J13=J12+N(D13)-N(G13),L13=L12+N(F13)-N(I13),J13&gt;=0),"OK","Revisar"))</f>
        <v/>
      </c>
    </row>
    <row r="14">
      <c r="A14" s="13" t="n"/>
      <c r="B14" s="14" t="n"/>
      <c r="C14" s="14" t="n"/>
      <c r="D14" s="14" t="n"/>
      <c r="E14" s="15" t="n"/>
      <c r="F14" s="15" t="n"/>
      <c r="G14" s="14" t="n"/>
      <c r="H14" s="15" t="n"/>
      <c r="I14" s="15" t="n"/>
      <c r="J14" s="14" t="n"/>
      <c r="K14" s="15" t="n"/>
      <c r="L14" s="15" t="n"/>
      <c r="M14" s="16">
        <f>IF(J14="","",IF(AND(J14=J13+N(D14)-N(G14),L14=L13+N(F14)-N(I14),J14&gt;=0),"OK","Revisar"))</f>
        <v/>
      </c>
    </row>
    <row r="15">
      <c r="A15" s="13" t="n"/>
      <c r="B15" s="14" t="n"/>
      <c r="C15" s="14" t="n"/>
      <c r="D15" s="14" t="n"/>
      <c r="E15" s="15" t="n"/>
      <c r="F15" s="15" t="n"/>
      <c r="G15" s="14" t="n"/>
      <c r="H15" s="15" t="n"/>
      <c r="I15" s="15" t="n"/>
      <c r="J15" s="14" t="n"/>
      <c r="K15" s="15" t="n"/>
      <c r="L15" s="15" t="n"/>
      <c r="M15" s="16">
        <f>IF(J15="","",IF(AND(J15=J14+N(D15)-N(G15),L15=L14+N(F15)-N(I15),J15&gt;=0),"OK","Revisar"))</f>
        <v/>
      </c>
    </row>
    <row r="16">
      <c r="A16" s="13" t="n"/>
      <c r="B16" s="14" t="n"/>
      <c r="C16" s="14" t="n"/>
      <c r="D16" s="14" t="n"/>
      <c r="E16" s="15" t="n"/>
      <c r="F16" s="15" t="n"/>
      <c r="G16" s="14" t="n"/>
      <c r="H16" s="15" t="n"/>
      <c r="I16" s="15" t="n"/>
      <c r="J16" s="14" t="n"/>
      <c r="K16" s="15" t="n"/>
      <c r="L16" s="15" t="n"/>
      <c r="M16" s="16">
        <f>IF(J16="","",IF(AND(J16=J15+N(D16)-N(G16),L16=L15+N(F16)-N(I16),J16&gt;=0),"OK","Revisar"))</f>
        <v/>
      </c>
    </row>
    <row r="17">
      <c r="A17" s="13" t="n"/>
      <c r="B17" s="14" t="n"/>
      <c r="C17" s="14" t="n"/>
      <c r="D17" s="14" t="n"/>
      <c r="E17" s="15" t="n"/>
      <c r="F17" s="15" t="n"/>
      <c r="G17" s="14" t="n"/>
      <c r="H17" s="15" t="n"/>
      <c r="I17" s="15" t="n"/>
      <c r="J17" s="14" t="n"/>
      <c r="K17" s="15" t="n"/>
      <c r="L17" s="15" t="n"/>
      <c r="M17" s="16">
        <f>IF(J17="","",IF(AND(J17=J16+N(D17)-N(G17),L17=L16+N(F17)-N(I17),J17&gt;=0),"OK","Revisar"))</f>
        <v/>
      </c>
    </row>
    <row r="18">
      <c r="A18" s="13" t="n"/>
      <c r="B18" s="14" t="n"/>
      <c r="C18" s="14" t="n"/>
      <c r="D18" s="14" t="n"/>
      <c r="E18" s="15" t="n"/>
      <c r="F18" s="15" t="n"/>
      <c r="G18" s="14" t="n"/>
      <c r="H18" s="15" t="n"/>
      <c r="I18" s="15" t="n"/>
      <c r="J18" s="14" t="n"/>
      <c r="K18" s="15" t="n"/>
      <c r="L18" s="15" t="n"/>
      <c r="M18" s="16">
        <f>IF(J18="","",IF(AND(J18=J17+N(D18)-N(G18),L18=L17+N(F18)-N(I18),J18&gt;=0),"OK","Revisar"))</f>
        <v/>
      </c>
    </row>
    <row r="19">
      <c r="A19" s="13" t="n"/>
      <c r="B19" s="14" t="n"/>
      <c r="C19" s="14" t="n"/>
      <c r="D19" s="14" t="n"/>
      <c r="E19" s="15" t="n"/>
      <c r="F19" s="15" t="n"/>
      <c r="G19" s="14" t="n"/>
      <c r="H19" s="15" t="n"/>
      <c r="I19" s="15" t="n"/>
      <c r="J19" s="14" t="n"/>
      <c r="K19" s="15" t="n"/>
      <c r="L19" s="15" t="n"/>
      <c r="M19" s="16">
        <f>IF(J19="","",IF(AND(J19=J18+N(D19)-N(G19),L19=L18+N(F19)-N(I19),J19&gt;=0),"OK","Revisar"))</f>
        <v/>
      </c>
    </row>
    <row r="20">
      <c r="A20" s="13" t="n"/>
      <c r="B20" s="14" t="n"/>
      <c r="C20" s="14" t="n"/>
      <c r="D20" s="14" t="n"/>
      <c r="E20" s="15" t="n"/>
      <c r="F20" s="15" t="n"/>
      <c r="G20" s="14" t="n"/>
      <c r="H20" s="15" t="n"/>
      <c r="I20" s="15" t="n"/>
      <c r="J20" s="14" t="n"/>
      <c r="K20" s="15" t="n"/>
      <c r="L20" s="15" t="n"/>
      <c r="M20" s="16">
        <f>IF(J20="","",IF(AND(J20=J19+N(D20)-N(G20),L20=L19+N(F20)-N(I20),J20&gt;=0),"OK","Revisar"))</f>
        <v/>
      </c>
    </row>
    <row r="22">
      <c r="A22" s="12" t="inlineStr">
        <is>
          <t>TEC-002 – Teclado USB estándar. Registra las operaciones en orden de fecha y termina con el ajuste de la toma física del 30/11/2026.</t>
        </is>
      </c>
    </row>
  </sheetData>
  <conditionalFormatting sqref="M2:M20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30A0"/>
    <outlinePr summaryBelow="1" summaryRight="1"/>
    <pageSetUpPr/>
  </sheetPr>
  <dimension ref="A1:K2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20" customWidth="1" min="3" max="3"/>
    <col width="12" customWidth="1" min="4" max="4"/>
    <col width="40" customWidth="1" min="5" max="5"/>
    <col width="15" customWidth="1" min="6" max="6"/>
    <col width="15" customWidth="1" min="7" max="7"/>
    <col width="16" customWidth="1" min="8" max="8"/>
    <col width="16" customWidth="1" min="10" max="10"/>
    <col width="16" customWidth="1" min="11" max="11"/>
  </cols>
  <sheetData>
    <row r="1" ht="42" customHeight="1">
      <c r="A1" s="8" t="inlineStr">
        <is>
          <t>N° asiento</t>
        </is>
      </c>
      <c r="B1" s="8" t="inlineStr">
        <is>
          <t>Fecha</t>
        </is>
      </c>
      <c r="C1" s="8" t="inlineStr">
        <is>
          <t>Documento soporte</t>
        </is>
      </c>
      <c r="D1" s="8" t="inlineStr">
        <is>
          <t>Código cuenta</t>
        </is>
      </c>
      <c r="E1" s="8" t="inlineStr">
        <is>
          <t>Nombre de la cuenta</t>
        </is>
      </c>
      <c r="F1" s="8" t="inlineStr">
        <is>
          <t>Débito</t>
        </is>
      </c>
      <c r="G1" s="8" t="inlineStr">
        <is>
          <t>Crédito</t>
        </is>
      </c>
      <c r="H1" s="8" t="inlineStr">
        <is>
          <t>Control del asiento</t>
        </is>
      </c>
      <c r="J1" s="7" t="inlineStr">
        <is>
          <t>Total débitos</t>
        </is>
      </c>
      <c r="K1" s="17">
        <f>SUM(F2:F221)</f>
        <v/>
      </c>
    </row>
    <row r="2">
      <c r="A2" s="14" t="n"/>
      <c r="B2" s="13" t="n"/>
      <c r="C2" s="14" t="n"/>
      <c r="D2" s="14" t="n"/>
      <c r="E2" s="14" t="n"/>
      <c r="F2" s="15" t="n"/>
      <c r="G2" s="15" t="n"/>
      <c r="H2" s="16">
        <f>IF(A2="","",IF(SUMIFS($F$2:$F$221,$A$2:$A$221,A2)=SUMIFS($G$2:$G$221,$A$2:$A$221,A2),"OK","Descuadrado"))</f>
        <v/>
      </c>
      <c r="J2" s="7" t="inlineStr">
        <is>
          <t>Total créditos</t>
        </is>
      </c>
      <c r="K2" s="17">
        <f>SUM(G2:G221)</f>
        <v/>
      </c>
    </row>
    <row r="3">
      <c r="A3" s="14" t="n"/>
      <c r="B3" s="13" t="n"/>
      <c r="C3" s="14" t="n"/>
      <c r="D3" s="14" t="n"/>
      <c r="E3" s="14" t="n"/>
      <c r="F3" s="15" t="n"/>
      <c r="G3" s="15" t="n"/>
      <c r="H3" s="16">
        <f>IF(A3="","",IF(SUMIFS($F$2:$F$221,$A$2:$A$221,A3)=SUMIFS($G$2:$G$221,$A$2:$A$221,A3),"OK","Descuadrado"))</f>
        <v/>
      </c>
      <c r="J3" s="7" t="inlineStr">
        <is>
          <t>Diferencia</t>
        </is>
      </c>
      <c r="K3" s="17">
        <f>K1-K2</f>
        <v/>
      </c>
    </row>
    <row r="4">
      <c r="A4" s="14" t="n"/>
      <c r="B4" s="13" t="n"/>
      <c r="C4" s="14" t="n"/>
      <c r="D4" s="14" t="n"/>
      <c r="E4" s="14" t="n"/>
      <c r="F4" s="15" t="n"/>
      <c r="G4" s="15" t="n"/>
      <c r="H4" s="16">
        <f>IF(A4="","",IF(SUMIFS($F$2:$F$221,$A$2:$A$221,A4)=SUMIFS($G$2:$G$221,$A$2:$A$221,A4),"OK","Descuadrado"))</f>
        <v/>
      </c>
    </row>
    <row r="5">
      <c r="A5" s="14" t="n"/>
      <c r="B5" s="13" t="n"/>
      <c r="C5" s="14" t="n"/>
      <c r="D5" s="14" t="n"/>
      <c r="E5" s="14" t="n"/>
      <c r="F5" s="15" t="n"/>
      <c r="G5" s="15" t="n"/>
      <c r="H5" s="16">
        <f>IF(A5="","",IF(SUMIFS($F$2:$F$221,$A$2:$A$221,A5)=SUMIFS($G$2:$G$221,$A$2:$A$221,A5),"OK","Descuadrado"))</f>
        <v/>
      </c>
    </row>
    <row r="6">
      <c r="A6" s="14" t="n"/>
      <c r="B6" s="13" t="n"/>
      <c r="C6" s="14" t="n"/>
      <c r="D6" s="14" t="n"/>
      <c r="E6" s="14" t="n"/>
      <c r="F6" s="15" t="n"/>
      <c r="G6" s="15" t="n"/>
      <c r="H6" s="16">
        <f>IF(A6="","",IF(SUMIFS($F$2:$F$221,$A$2:$A$221,A6)=SUMIFS($G$2:$G$221,$A$2:$A$221,A6),"OK","Descuadrado"))</f>
        <v/>
      </c>
    </row>
    <row r="7">
      <c r="A7" s="14" t="n"/>
      <c r="B7" s="13" t="n"/>
      <c r="C7" s="14" t="n"/>
      <c r="D7" s="14" t="n"/>
      <c r="E7" s="14" t="n"/>
      <c r="F7" s="15" t="n"/>
      <c r="G7" s="15" t="n"/>
      <c r="H7" s="16">
        <f>IF(A7="","",IF(SUMIFS($F$2:$F$221,$A$2:$A$221,A7)=SUMIFS($G$2:$G$221,$A$2:$A$221,A7),"OK","Descuadrado"))</f>
        <v/>
      </c>
    </row>
    <row r="8">
      <c r="A8" s="14" t="n"/>
      <c r="B8" s="13" t="n"/>
      <c r="C8" s="14" t="n"/>
      <c r="D8" s="14" t="n"/>
      <c r="E8" s="14" t="n"/>
      <c r="F8" s="15" t="n"/>
      <c r="G8" s="15" t="n"/>
      <c r="H8" s="16">
        <f>IF(A8="","",IF(SUMIFS($F$2:$F$221,$A$2:$A$221,A8)=SUMIFS($G$2:$G$221,$A$2:$A$221,A8),"OK","Descuadrado"))</f>
        <v/>
      </c>
    </row>
    <row r="9">
      <c r="A9" s="14" t="n"/>
      <c r="B9" s="13" t="n"/>
      <c r="C9" s="14" t="n"/>
      <c r="D9" s="14" t="n"/>
      <c r="E9" s="14" t="n"/>
      <c r="F9" s="15" t="n"/>
      <c r="G9" s="15" t="n"/>
      <c r="H9" s="16">
        <f>IF(A9="","",IF(SUMIFS($F$2:$F$221,$A$2:$A$221,A9)=SUMIFS($G$2:$G$221,$A$2:$A$221,A9),"OK","Descuadrado"))</f>
        <v/>
      </c>
    </row>
    <row r="10">
      <c r="A10" s="14" t="n"/>
      <c r="B10" s="13" t="n"/>
      <c r="C10" s="14" t="n"/>
      <c r="D10" s="14" t="n"/>
      <c r="E10" s="14" t="n"/>
      <c r="F10" s="15" t="n"/>
      <c r="G10" s="15" t="n"/>
      <c r="H10" s="16">
        <f>IF(A10="","",IF(SUMIFS($F$2:$F$221,$A$2:$A$221,A10)=SUMIFS($G$2:$G$221,$A$2:$A$221,A10),"OK","Descuadrado"))</f>
        <v/>
      </c>
    </row>
    <row r="11">
      <c r="A11" s="14" t="n"/>
      <c r="B11" s="13" t="n"/>
      <c r="C11" s="14" t="n"/>
      <c r="D11" s="14" t="n"/>
      <c r="E11" s="14" t="n"/>
      <c r="F11" s="15" t="n"/>
      <c r="G11" s="15" t="n"/>
      <c r="H11" s="16">
        <f>IF(A11="","",IF(SUMIFS($F$2:$F$221,$A$2:$A$221,A11)=SUMIFS($G$2:$G$221,$A$2:$A$221,A11),"OK","Descuadrado"))</f>
        <v/>
      </c>
    </row>
    <row r="12">
      <c r="A12" s="14" t="n"/>
      <c r="B12" s="13" t="n"/>
      <c r="C12" s="14" t="n"/>
      <c r="D12" s="14" t="n"/>
      <c r="E12" s="14" t="n"/>
      <c r="F12" s="15" t="n"/>
      <c r="G12" s="15" t="n"/>
      <c r="H12" s="16">
        <f>IF(A12="","",IF(SUMIFS($F$2:$F$221,$A$2:$A$221,A12)=SUMIFS($G$2:$G$221,$A$2:$A$221,A12),"OK","Descuadrado"))</f>
        <v/>
      </c>
    </row>
    <row r="13">
      <c r="A13" s="14" t="n"/>
      <c r="B13" s="13" t="n"/>
      <c r="C13" s="14" t="n"/>
      <c r="D13" s="14" t="n"/>
      <c r="E13" s="14" t="n"/>
      <c r="F13" s="15" t="n"/>
      <c r="G13" s="15" t="n"/>
      <c r="H13" s="16">
        <f>IF(A13="","",IF(SUMIFS($F$2:$F$221,$A$2:$A$221,A13)=SUMIFS($G$2:$G$221,$A$2:$A$221,A13),"OK","Descuadrado"))</f>
        <v/>
      </c>
    </row>
    <row r="14">
      <c r="A14" s="14" t="n"/>
      <c r="B14" s="13" t="n"/>
      <c r="C14" s="14" t="n"/>
      <c r="D14" s="14" t="n"/>
      <c r="E14" s="14" t="n"/>
      <c r="F14" s="15" t="n"/>
      <c r="G14" s="15" t="n"/>
      <c r="H14" s="16">
        <f>IF(A14="","",IF(SUMIFS($F$2:$F$221,$A$2:$A$221,A14)=SUMIFS($G$2:$G$221,$A$2:$A$221,A14),"OK","Descuadrado"))</f>
        <v/>
      </c>
    </row>
    <row r="15">
      <c r="A15" s="14" t="n"/>
      <c r="B15" s="13" t="n"/>
      <c r="C15" s="14" t="n"/>
      <c r="D15" s="14" t="n"/>
      <c r="E15" s="14" t="n"/>
      <c r="F15" s="15" t="n"/>
      <c r="G15" s="15" t="n"/>
      <c r="H15" s="16">
        <f>IF(A15="","",IF(SUMIFS($F$2:$F$221,$A$2:$A$221,A15)=SUMIFS($G$2:$G$221,$A$2:$A$221,A15),"OK","Descuadrado"))</f>
        <v/>
      </c>
    </row>
    <row r="16">
      <c r="A16" s="14" t="n"/>
      <c r="B16" s="13" t="n"/>
      <c r="C16" s="14" t="n"/>
      <c r="D16" s="14" t="n"/>
      <c r="E16" s="14" t="n"/>
      <c r="F16" s="15" t="n"/>
      <c r="G16" s="15" t="n"/>
      <c r="H16" s="16">
        <f>IF(A16="","",IF(SUMIFS($F$2:$F$221,$A$2:$A$221,A16)=SUMIFS($G$2:$G$221,$A$2:$A$221,A16),"OK","Descuadrado"))</f>
        <v/>
      </c>
    </row>
    <row r="17">
      <c r="A17" s="14" t="n"/>
      <c r="B17" s="13" t="n"/>
      <c r="C17" s="14" t="n"/>
      <c r="D17" s="14" t="n"/>
      <c r="E17" s="14" t="n"/>
      <c r="F17" s="15" t="n"/>
      <c r="G17" s="15" t="n"/>
      <c r="H17" s="16">
        <f>IF(A17="","",IF(SUMIFS($F$2:$F$221,$A$2:$A$221,A17)=SUMIFS($G$2:$G$221,$A$2:$A$221,A17),"OK","Descuadrado"))</f>
        <v/>
      </c>
    </row>
    <row r="18">
      <c r="A18" s="14" t="n"/>
      <c r="B18" s="13" t="n"/>
      <c r="C18" s="14" t="n"/>
      <c r="D18" s="14" t="n"/>
      <c r="E18" s="14" t="n"/>
      <c r="F18" s="15" t="n"/>
      <c r="G18" s="15" t="n"/>
      <c r="H18" s="16">
        <f>IF(A18="","",IF(SUMIFS($F$2:$F$221,$A$2:$A$221,A18)=SUMIFS($G$2:$G$221,$A$2:$A$221,A18),"OK","Descuadrado"))</f>
        <v/>
      </c>
    </row>
    <row r="19">
      <c r="A19" s="14" t="n"/>
      <c r="B19" s="13" t="n"/>
      <c r="C19" s="14" t="n"/>
      <c r="D19" s="14" t="n"/>
      <c r="E19" s="14" t="n"/>
      <c r="F19" s="15" t="n"/>
      <c r="G19" s="15" t="n"/>
      <c r="H19" s="16">
        <f>IF(A19="","",IF(SUMIFS($F$2:$F$221,$A$2:$A$221,A19)=SUMIFS($G$2:$G$221,$A$2:$A$221,A19),"OK","Descuadrado"))</f>
        <v/>
      </c>
    </row>
    <row r="20">
      <c r="A20" s="14" t="n"/>
      <c r="B20" s="13" t="n"/>
      <c r="C20" s="14" t="n"/>
      <c r="D20" s="14" t="n"/>
      <c r="E20" s="14" t="n"/>
      <c r="F20" s="15" t="n"/>
      <c r="G20" s="15" t="n"/>
      <c r="H20" s="16">
        <f>IF(A20="","",IF(SUMIFS($F$2:$F$221,$A$2:$A$221,A20)=SUMIFS($G$2:$G$221,$A$2:$A$221,A20),"OK","Descuadrado"))</f>
        <v/>
      </c>
    </row>
    <row r="21">
      <c r="A21" s="14" t="n"/>
      <c r="B21" s="13" t="n"/>
      <c r="C21" s="14" t="n"/>
      <c r="D21" s="14" t="n"/>
      <c r="E21" s="14" t="n"/>
      <c r="F21" s="15" t="n"/>
      <c r="G21" s="15" t="n"/>
      <c r="H21" s="16">
        <f>IF(A21="","",IF(SUMIFS($F$2:$F$221,$A$2:$A$221,A21)=SUMIFS($G$2:$G$221,$A$2:$A$221,A21),"OK","Descuadrado"))</f>
        <v/>
      </c>
    </row>
    <row r="22">
      <c r="A22" s="14" t="n"/>
      <c r="B22" s="13" t="n"/>
      <c r="C22" s="14" t="n"/>
      <c r="D22" s="14" t="n"/>
      <c r="E22" s="14" t="n"/>
      <c r="F22" s="15" t="n"/>
      <c r="G22" s="15" t="n"/>
      <c r="H22" s="16">
        <f>IF(A22="","",IF(SUMIFS($F$2:$F$221,$A$2:$A$221,A22)=SUMIFS($G$2:$G$221,$A$2:$A$221,A22),"OK","Descuadrado"))</f>
        <v/>
      </c>
    </row>
    <row r="23">
      <c r="A23" s="14" t="n"/>
      <c r="B23" s="13" t="n"/>
      <c r="C23" s="14" t="n"/>
      <c r="D23" s="14" t="n"/>
      <c r="E23" s="14" t="n"/>
      <c r="F23" s="15" t="n"/>
      <c r="G23" s="15" t="n"/>
      <c r="H23" s="16">
        <f>IF(A23="","",IF(SUMIFS($F$2:$F$221,$A$2:$A$221,A23)=SUMIFS($G$2:$G$221,$A$2:$A$221,A23),"OK","Descuadrado"))</f>
        <v/>
      </c>
    </row>
    <row r="24">
      <c r="A24" s="14" t="n"/>
      <c r="B24" s="13" t="n"/>
      <c r="C24" s="14" t="n"/>
      <c r="D24" s="14" t="n"/>
      <c r="E24" s="14" t="n"/>
      <c r="F24" s="15" t="n"/>
      <c r="G24" s="15" t="n"/>
      <c r="H24" s="16">
        <f>IF(A24="","",IF(SUMIFS($F$2:$F$221,$A$2:$A$221,A24)=SUMIFS($G$2:$G$221,$A$2:$A$221,A24),"OK","Descuadrado"))</f>
        <v/>
      </c>
    </row>
    <row r="25">
      <c r="A25" s="14" t="n"/>
      <c r="B25" s="13" t="n"/>
      <c r="C25" s="14" t="n"/>
      <c r="D25" s="14" t="n"/>
      <c r="E25" s="14" t="n"/>
      <c r="F25" s="15" t="n"/>
      <c r="G25" s="15" t="n"/>
      <c r="H25" s="16">
        <f>IF(A25="","",IF(SUMIFS($F$2:$F$221,$A$2:$A$221,A25)=SUMIFS($G$2:$G$221,$A$2:$A$221,A25),"OK","Descuadrado"))</f>
        <v/>
      </c>
    </row>
    <row r="26">
      <c r="A26" s="14" t="n"/>
      <c r="B26" s="13" t="n"/>
      <c r="C26" s="14" t="n"/>
      <c r="D26" s="14" t="n"/>
      <c r="E26" s="14" t="n"/>
      <c r="F26" s="15" t="n"/>
      <c r="G26" s="15" t="n"/>
      <c r="H26" s="16">
        <f>IF(A26="","",IF(SUMIFS($F$2:$F$221,$A$2:$A$221,A26)=SUMIFS($G$2:$G$221,$A$2:$A$221,A26),"OK","Descuadrado"))</f>
        <v/>
      </c>
    </row>
    <row r="27">
      <c r="A27" s="14" t="n"/>
      <c r="B27" s="13" t="n"/>
      <c r="C27" s="14" t="n"/>
      <c r="D27" s="14" t="n"/>
      <c r="E27" s="14" t="n"/>
      <c r="F27" s="15" t="n"/>
      <c r="G27" s="15" t="n"/>
      <c r="H27" s="16">
        <f>IF(A27="","",IF(SUMIFS($F$2:$F$221,$A$2:$A$221,A27)=SUMIFS($G$2:$G$221,$A$2:$A$221,A27),"OK","Descuadrado"))</f>
        <v/>
      </c>
    </row>
    <row r="28">
      <c r="A28" s="14" t="n"/>
      <c r="B28" s="13" t="n"/>
      <c r="C28" s="14" t="n"/>
      <c r="D28" s="14" t="n"/>
      <c r="E28" s="14" t="n"/>
      <c r="F28" s="15" t="n"/>
      <c r="G28" s="15" t="n"/>
      <c r="H28" s="16">
        <f>IF(A28="","",IF(SUMIFS($F$2:$F$221,$A$2:$A$221,A28)=SUMIFS($G$2:$G$221,$A$2:$A$221,A28),"OK","Descuadrado"))</f>
        <v/>
      </c>
    </row>
    <row r="29">
      <c r="A29" s="14" t="n"/>
      <c r="B29" s="13" t="n"/>
      <c r="C29" s="14" t="n"/>
      <c r="D29" s="14" t="n"/>
      <c r="E29" s="14" t="n"/>
      <c r="F29" s="15" t="n"/>
      <c r="G29" s="15" t="n"/>
      <c r="H29" s="16">
        <f>IF(A29="","",IF(SUMIFS($F$2:$F$221,$A$2:$A$221,A29)=SUMIFS($G$2:$G$221,$A$2:$A$221,A29),"OK","Descuadrado"))</f>
        <v/>
      </c>
    </row>
    <row r="30">
      <c r="A30" s="14" t="n"/>
      <c r="B30" s="13" t="n"/>
      <c r="C30" s="14" t="n"/>
      <c r="D30" s="14" t="n"/>
      <c r="E30" s="14" t="n"/>
      <c r="F30" s="15" t="n"/>
      <c r="G30" s="15" t="n"/>
      <c r="H30" s="16">
        <f>IF(A30="","",IF(SUMIFS($F$2:$F$221,$A$2:$A$221,A30)=SUMIFS($G$2:$G$221,$A$2:$A$221,A30),"OK","Descuadrado"))</f>
        <v/>
      </c>
    </row>
    <row r="31">
      <c r="A31" s="14" t="n"/>
      <c r="B31" s="13" t="n"/>
      <c r="C31" s="14" t="n"/>
      <c r="D31" s="14" t="n"/>
      <c r="E31" s="14" t="n"/>
      <c r="F31" s="15" t="n"/>
      <c r="G31" s="15" t="n"/>
      <c r="H31" s="16">
        <f>IF(A31="","",IF(SUMIFS($F$2:$F$221,$A$2:$A$221,A31)=SUMIFS($G$2:$G$221,$A$2:$A$221,A31),"OK","Descuadrado"))</f>
        <v/>
      </c>
    </row>
    <row r="32">
      <c r="A32" s="14" t="n"/>
      <c r="B32" s="13" t="n"/>
      <c r="C32" s="14" t="n"/>
      <c r="D32" s="14" t="n"/>
      <c r="E32" s="14" t="n"/>
      <c r="F32" s="15" t="n"/>
      <c r="G32" s="15" t="n"/>
      <c r="H32" s="16">
        <f>IF(A32="","",IF(SUMIFS($F$2:$F$221,$A$2:$A$221,A32)=SUMIFS($G$2:$G$221,$A$2:$A$221,A32),"OK","Descuadrado"))</f>
        <v/>
      </c>
    </row>
    <row r="33">
      <c r="A33" s="14" t="n"/>
      <c r="B33" s="13" t="n"/>
      <c r="C33" s="14" t="n"/>
      <c r="D33" s="14" t="n"/>
      <c r="E33" s="14" t="n"/>
      <c r="F33" s="15" t="n"/>
      <c r="G33" s="15" t="n"/>
      <c r="H33" s="16">
        <f>IF(A33="","",IF(SUMIFS($F$2:$F$221,$A$2:$A$221,A33)=SUMIFS($G$2:$G$221,$A$2:$A$221,A33),"OK","Descuadrado"))</f>
        <v/>
      </c>
    </row>
    <row r="34">
      <c r="A34" s="14" t="n"/>
      <c r="B34" s="13" t="n"/>
      <c r="C34" s="14" t="n"/>
      <c r="D34" s="14" t="n"/>
      <c r="E34" s="14" t="n"/>
      <c r="F34" s="15" t="n"/>
      <c r="G34" s="15" t="n"/>
      <c r="H34" s="16">
        <f>IF(A34="","",IF(SUMIFS($F$2:$F$221,$A$2:$A$221,A34)=SUMIFS($G$2:$G$221,$A$2:$A$221,A34),"OK","Descuadrado"))</f>
        <v/>
      </c>
    </row>
    <row r="35">
      <c r="A35" s="14" t="n"/>
      <c r="B35" s="13" t="n"/>
      <c r="C35" s="14" t="n"/>
      <c r="D35" s="14" t="n"/>
      <c r="E35" s="14" t="n"/>
      <c r="F35" s="15" t="n"/>
      <c r="G35" s="15" t="n"/>
      <c r="H35" s="16">
        <f>IF(A35="","",IF(SUMIFS($F$2:$F$221,$A$2:$A$221,A35)=SUMIFS($G$2:$G$221,$A$2:$A$221,A35),"OK","Descuadrado"))</f>
        <v/>
      </c>
    </row>
    <row r="36">
      <c r="A36" s="14" t="n"/>
      <c r="B36" s="13" t="n"/>
      <c r="C36" s="14" t="n"/>
      <c r="D36" s="14" t="n"/>
      <c r="E36" s="14" t="n"/>
      <c r="F36" s="15" t="n"/>
      <c r="G36" s="15" t="n"/>
      <c r="H36" s="16">
        <f>IF(A36="","",IF(SUMIFS($F$2:$F$221,$A$2:$A$221,A36)=SUMIFS($G$2:$G$221,$A$2:$A$221,A36),"OK","Descuadrado"))</f>
        <v/>
      </c>
    </row>
    <row r="37">
      <c r="A37" s="14" t="n"/>
      <c r="B37" s="13" t="n"/>
      <c r="C37" s="14" t="n"/>
      <c r="D37" s="14" t="n"/>
      <c r="E37" s="14" t="n"/>
      <c r="F37" s="15" t="n"/>
      <c r="G37" s="15" t="n"/>
      <c r="H37" s="16">
        <f>IF(A37="","",IF(SUMIFS($F$2:$F$221,$A$2:$A$221,A37)=SUMIFS($G$2:$G$221,$A$2:$A$221,A37),"OK","Descuadrado"))</f>
        <v/>
      </c>
    </row>
    <row r="38">
      <c r="A38" s="14" t="n"/>
      <c r="B38" s="13" t="n"/>
      <c r="C38" s="14" t="n"/>
      <c r="D38" s="14" t="n"/>
      <c r="E38" s="14" t="n"/>
      <c r="F38" s="15" t="n"/>
      <c r="G38" s="15" t="n"/>
      <c r="H38" s="16">
        <f>IF(A38="","",IF(SUMIFS($F$2:$F$221,$A$2:$A$221,A38)=SUMIFS($G$2:$G$221,$A$2:$A$221,A38),"OK","Descuadrado"))</f>
        <v/>
      </c>
    </row>
    <row r="39">
      <c r="A39" s="14" t="n"/>
      <c r="B39" s="13" t="n"/>
      <c r="C39" s="14" t="n"/>
      <c r="D39" s="14" t="n"/>
      <c r="E39" s="14" t="n"/>
      <c r="F39" s="15" t="n"/>
      <c r="G39" s="15" t="n"/>
      <c r="H39" s="16">
        <f>IF(A39="","",IF(SUMIFS($F$2:$F$221,$A$2:$A$221,A39)=SUMIFS($G$2:$G$221,$A$2:$A$221,A39),"OK","Descuadrado"))</f>
        <v/>
      </c>
    </row>
    <row r="40">
      <c r="A40" s="14" t="n"/>
      <c r="B40" s="13" t="n"/>
      <c r="C40" s="14" t="n"/>
      <c r="D40" s="14" t="n"/>
      <c r="E40" s="14" t="n"/>
      <c r="F40" s="15" t="n"/>
      <c r="G40" s="15" t="n"/>
      <c r="H40" s="16">
        <f>IF(A40="","",IF(SUMIFS($F$2:$F$221,$A$2:$A$221,A40)=SUMIFS($G$2:$G$221,$A$2:$A$221,A40),"OK","Descuadrado"))</f>
        <v/>
      </c>
    </row>
    <row r="41">
      <c r="A41" s="14" t="n"/>
      <c r="B41" s="13" t="n"/>
      <c r="C41" s="14" t="n"/>
      <c r="D41" s="14" t="n"/>
      <c r="E41" s="14" t="n"/>
      <c r="F41" s="15" t="n"/>
      <c r="G41" s="15" t="n"/>
      <c r="H41" s="16">
        <f>IF(A41="","",IF(SUMIFS($F$2:$F$221,$A$2:$A$221,A41)=SUMIFS($G$2:$G$221,$A$2:$A$221,A41),"OK","Descuadrado"))</f>
        <v/>
      </c>
    </row>
    <row r="42">
      <c r="A42" s="14" t="n"/>
      <c r="B42" s="13" t="n"/>
      <c r="C42" s="14" t="n"/>
      <c r="D42" s="14" t="n"/>
      <c r="E42" s="14" t="n"/>
      <c r="F42" s="15" t="n"/>
      <c r="G42" s="15" t="n"/>
      <c r="H42" s="16">
        <f>IF(A42="","",IF(SUMIFS($F$2:$F$221,$A$2:$A$221,A42)=SUMIFS($G$2:$G$221,$A$2:$A$221,A42),"OK","Descuadrado"))</f>
        <v/>
      </c>
    </row>
    <row r="43">
      <c r="A43" s="14" t="n"/>
      <c r="B43" s="13" t="n"/>
      <c r="C43" s="14" t="n"/>
      <c r="D43" s="14" t="n"/>
      <c r="E43" s="14" t="n"/>
      <c r="F43" s="15" t="n"/>
      <c r="G43" s="15" t="n"/>
      <c r="H43" s="16">
        <f>IF(A43="","",IF(SUMIFS($F$2:$F$221,$A$2:$A$221,A43)=SUMIFS($G$2:$G$221,$A$2:$A$221,A43),"OK","Descuadrado"))</f>
        <v/>
      </c>
    </row>
    <row r="44">
      <c r="A44" s="14" t="n"/>
      <c r="B44" s="13" t="n"/>
      <c r="C44" s="14" t="n"/>
      <c r="D44" s="14" t="n"/>
      <c r="E44" s="14" t="n"/>
      <c r="F44" s="15" t="n"/>
      <c r="G44" s="15" t="n"/>
      <c r="H44" s="16">
        <f>IF(A44="","",IF(SUMIFS($F$2:$F$221,$A$2:$A$221,A44)=SUMIFS($G$2:$G$221,$A$2:$A$221,A44),"OK","Descuadrado"))</f>
        <v/>
      </c>
    </row>
    <row r="45">
      <c r="A45" s="14" t="n"/>
      <c r="B45" s="13" t="n"/>
      <c r="C45" s="14" t="n"/>
      <c r="D45" s="14" t="n"/>
      <c r="E45" s="14" t="n"/>
      <c r="F45" s="15" t="n"/>
      <c r="G45" s="15" t="n"/>
      <c r="H45" s="16">
        <f>IF(A45="","",IF(SUMIFS($F$2:$F$221,$A$2:$A$221,A45)=SUMIFS($G$2:$G$221,$A$2:$A$221,A45),"OK","Descuadrado"))</f>
        <v/>
      </c>
    </row>
    <row r="46">
      <c r="A46" s="14" t="n"/>
      <c r="B46" s="13" t="n"/>
      <c r="C46" s="14" t="n"/>
      <c r="D46" s="14" t="n"/>
      <c r="E46" s="14" t="n"/>
      <c r="F46" s="15" t="n"/>
      <c r="G46" s="15" t="n"/>
      <c r="H46" s="16">
        <f>IF(A46="","",IF(SUMIFS($F$2:$F$221,$A$2:$A$221,A46)=SUMIFS($G$2:$G$221,$A$2:$A$221,A46),"OK","Descuadrado"))</f>
        <v/>
      </c>
    </row>
    <row r="47">
      <c r="A47" s="14" t="n"/>
      <c r="B47" s="13" t="n"/>
      <c r="C47" s="14" t="n"/>
      <c r="D47" s="14" t="n"/>
      <c r="E47" s="14" t="n"/>
      <c r="F47" s="15" t="n"/>
      <c r="G47" s="15" t="n"/>
      <c r="H47" s="16">
        <f>IF(A47="","",IF(SUMIFS($F$2:$F$221,$A$2:$A$221,A47)=SUMIFS($G$2:$G$221,$A$2:$A$221,A47),"OK","Descuadrado"))</f>
        <v/>
      </c>
    </row>
    <row r="48">
      <c r="A48" s="14" t="n"/>
      <c r="B48" s="13" t="n"/>
      <c r="C48" s="14" t="n"/>
      <c r="D48" s="14" t="n"/>
      <c r="E48" s="14" t="n"/>
      <c r="F48" s="15" t="n"/>
      <c r="G48" s="15" t="n"/>
      <c r="H48" s="16">
        <f>IF(A48="","",IF(SUMIFS($F$2:$F$221,$A$2:$A$221,A48)=SUMIFS($G$2:$G$221,$A$2:$A$221,A48),"OK","Descuadrado"))</f>
        <v/>
      </c>
    </row>
    <row r="49">
      <c r="A49" s="14" t="n"/>
      <c r="B49" s="13" t="n"/>
      <c r="C49" s="14" t="n"/>
      <c r="D49" s="14" t="n"/>
      <c r="E49" s="14" t="n"/>
      <c r="F49" s="15" t="n"/>
      <c r="G49" s="15" t="n"/>
      <c r="H49" s="16">
        <f>IF(A49="","",IF(SUMIFS($F$2:$F$221,$A$2:$A$221,A49)=SUMIFS($G$2:$G$221,$A$2:$A$221,A49),"OK","Descuadrado"))</f>
        <v/>
      </c>
    </row>
    <row r="50">
      <c r="A50" s="14" t="n"/>
      <c r="B50" s="13" t="n"/>
      <c r="C50" s="14" t="n"/>
      <c r="D50" s="14" t="n"/>
      <c r="E50" s="14" t="n"/>
      <c r="F50" s="15" t="n"/>
      <c r="G50" s="15" t="n"/>
      <c r="H50" s="16">
        <f>IF(A50="","",IF(SUMIFS($F$2:$F$221,$A$2:$A$221,A50)=SUMIFS($G$2:$G$221,$A$2:$A$221,A50),"OK","Descuadrado"))</f>
        <v/>
      </c>
    </row>
    <row r="51">
      <c r="A51" s="14" t="n"/>
      <c r="B51" s="13" t="n"/>
      <c r="C51" s="14" t="n"/>
      <c r="D51" s="14" t="n"/>
      <c r="E51" s="14" t="n"/>
      <c r="F51" s="15" t="n"/>
      <c r="G51" s="15" t="n"/>
      <c r="H51" s="16">
        <f>IF(A51="","",IF(SUMIFS($F$2:$F$221,$A$2:$A$221,A51)=SUMIFS($G$2:$G$221,$A$2:$A$221,A51),"OK","Descuadrado"))</f>
        <v/>
      </c>
    </row>
    <row r="52">
      <c r="A52" s="14" t="n"/>
      <c r="B52" s="13" t="n"/>
      <c r="C52" s="14" t="n"/>
      <c r="D52" s="14" t="n"/>
      <c r="E52" s="14" t="n"/>
      <c r="F52" s="15" t="n"/>
      <c r="G52" s="15" t="n"/>
      <c r="H52" s="16">
        <f>IF(A52="","",IF(SUMIFS($F$2:$F$221,$A$2:$A$221,A52)=SUMIFS($G$2:$G$221,$A$2:$A$221,A52),"OK","Descuadrado"))</f>
        <v/>
      </c>
    </row>
    <row r="53">
      <c r="A53" s="14" t="n"/>
      <c r="B53" s="13" t="n"/>
      <c r="C53" s="14" t="n"/>
      <c r="D53" s="14" t="n"/>
      <c r="E53" s="14" t="n"/>
      <c r="F53" s="15" t="n"/>
      <c r="G53" s="15" t="n"/>
      <c r="H53" s="16">
        <f>IF(A53="","",IF(SUMIFS($F$2:$F$221,$A$2:$A$221,A53)=SUMIFS($G$2:$G$221,$A$2:$A$221,A53),"OK","Descuadrado"))</f>
        <v/>
      </c>
    </row>
    <row r="54">
      <c r="A54" s="14" t="n"/>
      <c r="B54" s="13" t="n"/>
      <c r="C54" s="14" t="n"/>
      <c r="D54" s="14" t="n"/>
      <c r="E54" s="14" t="n"/>
      <c r="F54" s="15" t="n"/>
      <c r="G54" s="15" t="n"/>
      <c r="H54" s="16">
        <f>IF(A54="","",IF(SUMIFS($F$2:$F$221,$A$2:$A$221,A54)=SUMIFS($G$2:$G$221,$A$2:$A$221,A54),"OK","Descuadrado"))</f>
        <v/>
      </c>
    </row>
    <row r="55">
      <c r="A55" s="14" t="n"/>
      <c r="B55" s="13" t="n"/>
      <c r="C55" s="14" t="n"/>
      <c r="D55" s="14" t="n"/>
      <c r="E55" s="14" t="n"/>
      <c r="F55" s="15" t="n"/>
      <c r="G55" s="15" t="n"/>
      <c r="H55" s="16">
        <f>IF(A55="","",IF(SUMIFS($F$2:$F$221,$A$2:$A$221,A55)=SUMIFS($G$2:$G$221,$A$2:$A$221,A55),"OK","Descuadrado"))</f>
        <v/>
      </c>
    </row>
    <row r="56">
      <c r="A56" s="14" t="n"/>
      <c r="B56" s="13" t="n"/>
      <c r="C56" s="14" t="n"/>
      <c r="D56" s="14" t="n"/>
      <c r="E56" s="14" t="n"/>
      <c r="F56" s="15" t="n"/>
      <c r="G56" s="15" t="n"/>
      <c r="H56" s="16">
        <f>IF(A56="","",IF(SUMIFS($F$2:$F$221,$A$2:$A$221,A56)=SUMIFS($G$2:$G$221,$A$2:$A$221,A56),"OK","Descuadrado"))</f>
        <v/>
      </c>
    </row>
    <row r="57">
      <c r="A57" s="14" t="n"/>
      <c r="B57" s="13" t="n"/>
      <c r="C57" s="14" t="n"/>
      <c r="D57" s="14" t="n"/>
      <c r="E57" s="14" t="n"/>
      <c r="F57" s="15" t="n"/>
      <c r="G57" s="15" t="n"/>
      <c r="H57" s="16">
        <f>IF(A57="","",IF(SUMIFS($F$2:$F$221,$A$2:$A$221,A57)=SUMIFS($G$2:$G$221,$A$2:$A$221,A57),"OK","Descuadrado"))</f>
        <v/>
      </c>
    </row>
    <row r="58">
      <c r="A58" s="14" t="n"/>
      <c r="B58" s="13" t="n"/>
      <c r="C58" s="14" t="n"/>
      <c r="D58" s="14" t="n"/>
      <c r="E58" s="14" t="n"/>
      <c r="F58" s="15" t="n"/>
      <c r="G58" s="15" t="n"/>
      <c r="H58" s="16">
        <f>IF(A58="","",IF(SUMIFS($F$2:$F$221,$A$2:$A$221,A58)=SUMIFS($G$2:$G$221,$A$2:$A$221,A58),"OK","Descuadrado"))</f>
        <v/>
      </c>
    </row>
    <row r="59">
      <c r="A59" s="14" t="n"/>
      <c r="B59" s="13" t="n"/>
      <c r="C59" s="14" t="n"/>
      <c r="D59" s="14" t="n"/>
      <c r="E59" s="14" t="n"/>
      <c r="F59" s="15" t="n"/>
      <c r="G59" s="15" t="n"/>
      <c r="H59" s="16">
        <f>IF(A59="","",IF(SUMIFS($F$2:$F$221,$A$2:$A$221,A59)=SUMIFS($G$2:$G$221,$A$2:$A$221,A59),"OK","Descuadrado"))</f>
        <v/>
      </c>
    </row>
    <row r="60">
      <c r="A60" s="14" t="n"/>
      <c r="B60" s="13" t="n"/>
      <c r="C60" s="14" t="n"/>
      <c r="D60" s="14" t="n"/>
      <c r="E60" s="14" t="n"/>
      <c r="F60" s="15" t="n"/>
      <c r="G60" s="15" t="n"/>
      <c r="H60" s="16">
        <f>IF(A60="","",IF(SUMIFS($F$2:$F$221,$A$2:$A$221,A60)=SUMIFS($G$2:$G$221,$A$2:$A$221,A60),"OK","Descuadrado"))</f>
        <v/>
      </c>
    </row>
    <row r="61">
      <c r="A61" s="14" t="n"/>
      <c r="B61" s="13" t="n"/>
      <c r="C61" s="14" t="n"/>
      <c r="D61" s="14" t="n"/>
      <c r="E61" s="14" t="n"/>
      <c r="F61" s="15" t="n"/>
      <c r="G61" s="15" t="n"/>
      <c r="H61" s="16">
        <f>IF(A61="","",IF(SUMIFS($F$2:$F$221,$A$2:$A$221,A61)=SUMIFS($G$2:$G$221,$A$2:$A$221,A61),"OK","Descuadrado"))</f>
        <v/>
      </c>
    </row>
    <row r="62">
      <c r="A62" s="14" t="n"/>
      <c r="B62" s="13" t="n"/>
      <c r="C62" s="14" t="n"/>
      <c r="D62" s="14" t="n"/>
      <c r="E62" s="14" t="n"/>
      <c r="F62" s="15" t="n"/>
      <c r="G62" s="15" t="n"/>
      <c r="H62" s="16">
        <f>IF(A62="","",IF(SUMIFS($F$2:$F$221,$A$2:$A$221,A62)=SUMIFS($G$2:$G$221,$A$2:$A$221,A62),"OK","Descuadrado"))</f>
        <v/>
      </c>
    </row>
    <row r="63">
      <c r="A63" s="14" t="n"/>
      <c r="B63" s="13" t="n"/>
      <c r="C63" s="14" t="n"/>
      <c r="D63" s="14" t="n"/>
      <c r="E63" s="14" t="n"/>
      <c r="F63" s="15" t="n"/>
      <c r="G63" s="15" t="n"/>
      <c r="H63" s="16">
        <f>IF(A63="","",IF(SUMIFS($F$2:$F$221,$A$2:$A$221,A63)=SUMIFS($G$2:$G$221,$A$2:$A$221,A63),"OK","Descuadrado"))</f>
        <v/>
      </c>
    </row>
    <row r="64">
      <c r="A64" s="14" t="n"/>
      <c r="B64" s="13" t="n"/>
      <c r="C64" s="14" t="n"/>
      <c r="D64" s="14" t="n"/>
      <c r="E64" s="14" t="n"/>
      <c r="F64" s="15" t="n"/>
      <c r="G64" s="15" t="n"/>
      <c r="H64" s="16">
        <f>IF(A64="","",IF(SUMIFS($F$2:$F$221,$A$2:$A$221,A64)=SUMIFS($G$2:$G$221,$A$2:$A$221,A64),"OK","Descuadrado"))</f>
        <v/>
      </c>
    </row>
    <row r="65">
      <c r="A65" s="14" t="n"/>
      <c r="B65" s="13" t="n"/>
      <c r="C65" s="14" t="n"/>
      <c r="D65" s="14" t="n"/>
      <c r="E65" s="14" t="n"/>
      <c r="F65" s="15" t="n"/>
      <c r="G65" s="15" t="n"/>
      <c r="H65" s="16">
        <f>IF(A65="","",IF(SUMIFS($F$2:$F$221,$A$2:$A$221,A65)=SUMIFS($G$2:$G$221,$A$2:$A$221,A65),"OK","Descuadrado"))</f>
        <v/>
      </c>
    </row>
    <row r="66">
      <c r="A66" s="14" t="n"/>
      <c r="B66" s="13" t="n"/>
      <c r="C66" s="14" t="n"/>
      <c r="D66" s="14" t="n"/>
      <c r="E66" s="14" t="n"/>
      <c r="F66" s="15" t="n"/>
      <c r="G66" s="15" t="n"/>
      <c r="H66" s="16">
        <f>IF(A66="","",IF(SUMIFS($F$2:$F$221,$A$2:$A$221,A66)=SUMIFS($G$2:$G$221,$A$2:$A$221,A66),"OK","Descuadrado"))</f>
        <v/>
      </c>
    </row>
    <row r="67">
      <c r="A67" s="14" t="n"/>
      <c r="B67" s="13" t="n"/>
      <c r="C67" s="14" t="n"/>
      <c r="D67" s="14" t="n"/>
      <c r="E67" s="14" t="n"/>
      <c r="F67" s="15" t="n"/>
      <c r="G67" s="15" t="n"/>
      <c r="H67" s="16">
        <f>IF(A67="","",IF(SUMIFS($F$2:$F$221,$A$2:$A$221,A67)=SUMIFS($G$2:$G$221,$A$2:$A$221,A67),"OK","Descuadrado"))</f>
        <v/>
      </c>
    </row>
    <row r="68">
      <c r="A68" s="14" t="n"/>
      <c r="B68" s="13" t="n"/>
      <c r="C68" s="14" t="n"/>
      <c r="D68" s="14" t="n"/>
      <c r="E68" s="14" t="n"/>
      <c r="F68" s="15" t="n"/>
      <c r="G68" s="15" t="n"/>
      <c r="H68" s="16">
        <f>IF(A68="","",IF(SUMIFS($F$2:$F$221,$A$2:$A$221,A68)=SUMIFS($G$2:$G$221,$A$2:$A$221,A68),"OK","Descuadrado"))</f>
        <v/>
      </c>
    </row>
    <row r="69">
      <c r="A69" s="14" t="n"/>
      <c r="B69" s="13" t="n"/>
      <c r="C69" s="14" t="n"/>
      <c r="D69" s="14" t="n"/>
      <c r="E69" s="14" t="n"/>
      <c r="F69" s="15" t="n"/>
      <c r="G69" s="15" t="n"/>
      <c r="H69" s="16">
        <f>IF(A69="","",IF(SUMIFS($F$2:$F$221,$A$2:$A$221,A69)=SUMIFS($G$2:$G$221,$A$2:$A$221,A69),"OK","Descuadrado"))</f>
        <v/>
      </c>
    </row>
    <row r="70">
      <c r="A70" s="14" t="n"/>
      <c r="B70" s="13" t="n"/>
      <c r="C70" s="14" t="n"/>
      <c r="D70" s="14" t="n"/>
      <c r="E70" s="14" t="n"/>
      <c r="F70" s="15" t="n"/>
      <c r="G70" s="15" t="n"/>
      <c r="H70" s="16">
        <f>IF(A70="","",IF(SUMIFS($F$2:$F$221,$A$2:$A$221,A70)=SUMIFS($G$2:$G$221,$A$2:$A$221,A70),"OK","Descuadrado"))</f>
        <v/>
      </c>
    </row>
    <row r="71">
      <c r="A71" s="14" t="n"/>
      <c r="B71" s="13" t="n"/>
      <c r="C71" s="14" t="n"/>
      <c r="D71" s="14" t="n"/>
      <c r="E71" s="14" t="n"/>
      <c r="F71" s="15" t="n"/>
      <c r="G71" s="15" t="n"/>
      <c r="H71" s="16">
        <f>IF(A71="","",IF(SUMIFS($F$2:$F$221,$A$2:$A$221,A71)=SUMIFS($G$2:$G$221,$A$2:$A$221,A71),"OK","Descuadrado"))</f>
        <v/>
      </c>
    </row>
    <row r="72">
      <c r="A72" s="14" t="n"/>
      <c r="B72" s="13" t="n"/>
      <c r="C72" s="14" t="n"/>
      <c r="D72" s="14" t="n"/>
      <c r="E72" s="14" t="n"/>
      <c r="F72" s="15" t="n"/>
      <c r="G72" s="15" t="n"/>
      <c r="H72" s="16">
        <f>IF(A72="","",IF(SUMIFS($F$2:$F$221,$A$2:$A$221,A72)=SUMIFS($G$2:$G$221,$A$2:$A$221,A72),"OK","Descuadrado"))</f>
        <v/>
      </c>
    </row>
    <row r="73">
      <c r="A73" s="14" t="n"/>
      <c r="B73" s="13" t="n"/>
      <c r="C73" s="14" t="n"/>
      <c r="D73" s="14" t="n"/>
      <c r="E73" s="14" t="n"/>
      <c r="F73" s="15" t="n"/>
      <c r="G73" s="15" t="n"/>
      <c r="H73" s="16">
        <f>IF(A73="","",IF(SUMIFS($F$2:$F$221,$A$2:$A$221,A73)=SUMIFS($G$2:$G$221,$A$2:$A$221,A73),"OK","Descuadrado"))</f>
        <v/>
      </c>
    </row>
    <row r="74">
      <c r="A74" s="14" t="n"/>
      <c r="B74" s="13" t="n"/>
      <c r="C74" s="14" t="n"/>
      <c r="D74" s="14" t="n"/>
      <c r="E74" s="14" t="n"/>
      <c r="F74" s="15" t="n"/>
      <c r="G74" s="15" t="n"/>
      <c r="H74" s="16">
        <f>IF(A74="","",IF(SUMIFS($F$2:$F$221,$A$2:$A$221,A74)=SUMIFS($G$2:$G$221,$A$2:$A$221,A74),"OK","Descuadrado"))</f>
        <v/>
      </c>
    </row>
    <row r="75">
      <c r="A75" s="14" t="n"/>
      <c r="B75" s="13" t="n"/>
      <c r="C75" s="14" t="n"/>
      <c r="D75" s="14" t="n"/>
      <c r="E75" s="14" t="n"/>
      <c r="F75" s="15" t="n"/>
      <c r="G75" s="15" t="n"/>
      <c r="H75" s="16">
        <f>IF(A75="","",IF(SUMIFS($F$2:$F$221,$A$2:$A$221,A75)=SUMIFS($G$2:$G$221,$A$2:$A$221,A75),"OK","Descuadrado"))</f>
        <v/>
      </c>
    </row>
    <row r="76">
      <c r="A76" s="14" t="n"/>
      <c r="B76" s="13" t="n"/>
      <c r="C76" s="14" t="n"/>
      <c r="D76" s="14" t="n"/>
      <c r="E76" s="14" t="n"/>
      <c r="F76" s="15" t="n"/>
      <c r="G76" s="15" t="n"/>
      <c r="H76" s="16">
        <f>IF(A76="","",IF(SUMIFS($F$2:$F$221,$A$2:$A$221,A76)=SUMIFS($G$2:$G$221,$A$2:$A$221,A76),"OK","Descuadrado"))</f>
        <v/>
      </c>
    </row>
    <row r="77">
      <c r="A77" s="14" t="n"/>
      <c r="B77" s="13" t="n"/>
      <c r="C77" s="14" t="n"/>
      <c r="D77" s="14" t="n"/>
      <c r="E77" s="14" t="n"/>
      <c r="F77" s="15" t="n"/>
      <c r="G77" s="15" t="n"/>
      <c r="H77" s="16">
        <f>IF(A77="","",IF(SUMIFS($F$2:$F$221,$A$2:$A$221,A77)=SUMIFS($G$2:$G$221,$A$2:$A$221,A77),"OK","Descuadrado"))</f>
        <v/>
      </c>
    </row>
    <row r="78">
      <c r="A78" s="14" t="n"/>
      <c r="B78" s="13" t="n"/>
      <c r="C78" s="14" t="n"/>
      <c r="D78" s="14" t="n"/>
      <c r="E78" s="14" t="n"/>
      <c r="F78" s="15" t="n"/>
      <c r="G78" s="15" t="n"/>
      <c r="H78" s="16">
        <f>IF(A78="","",IF(SUMIFS($F$2:$F$221,$A$2:$A$221,A78)=SUMIFS($G$2:$G$221,$A$2:$A$221,A78),"OK","Descuadrado"))</f>
        <v/>
      </c>
    </row>
    <row r="79">
      <c r="A79" s="14" t="n"/>
      <c r="B79" s="13" t="n"/>
      <c r="C79" s="14" t="n"/>
      <c r="D79" s="14" t="n"/>
      <c r="E79" s="14" t="n"/>
      <c r="F79" s="15" t="n"/>
      <c r="G79" s="15" t="n"/>
      <c r="H79" s="16">
        <f>IF(A79="","",IF(SUMIFS($F$2:$F$221,$A$2:$A$221,A79)=SUMIFS($G$2:$G$221,$A$2:$A$221,A79),"OK","Descuadrado"))</f>
        <v/>
      </c>
    </row>
    <row r="80">
      <c r="A80" s="14" t="n"/>
      <c r="B80" s="13" t="n"/>
      <c r="C80" s="14" t="n"/>
      <c r="D80" s="14" t="n"/>
      <c r="E80" s="14" t="n"/>
      <c r="F80" s="15" t="n"/>
      <c r="G80" s="15" t="n"/>
      <c r="H80" s="16">
        <f>IF(A80="","",IF(SUMIFS($F$2:$F$221,$A$2:$A$221,A80)=SUMIFS($G$2:$G$221,$A$2:$A$221,A80),"OK","Descuadrado"))</f>
        <v/>
      </c>
    </row>
    <row r="81">
      <c r="A81" s="14" t="n"/>
      <c r="B81" s="13" t="n"/>
      <c r="C81" s="14" t="n"/>
      <c r="D81" s="14" t="n"/>
      <c r="E81" s="14" t="n"/>
      <c r="F81" s="15" t="n"/>
      <c r="G81" s="15" t="n"/>
      <c r="H81" s="16">
        <f>IF(A81="","",IF(SUMIFS($F$2:$F$221,$A$2:$A$221,A81)=SUMIFS($G$2:$G$221,$A$2:$A$221,A81),"OK","Descuadrado"))</f>
        <v/>
      </c>
    </row>
    <row r="82">
      <c r="A82" s="14" t="n"/>
      <c r="B82" s="13" t="n"/>
      <c r="C82" s="14" t="n"/>
      <c r="D82" s="14" t="n"/>
      <c r="E82" s="14" t="n"/>
      <c r="F82" s="15" t="n"/>
      <c r="G82" s="15" t="n"/>
      <c r="H82" s="16">
        <f>IF(A82="","",IF(SUMIFS($F$2:$F$221,$A$2:$A$221,A82)=SUMIFS($G$2:$G$221,$A$2:$A$221,A82),"OK","Descuadrado"))</f>
        <v/>
      </c>
    </row>
    <row r="83">
      <c r="A83" s="14" t="n"/>
      <c r="B83" s="13" t="n"/>
      <c r="C83" s="14" t="n"/>
      <c r="D83" s="14" t="n"/>
      <c r="E83" s="14" t="n"/>
      <c r="F83" s="15" t="n"/>
      <c r="G83" s="15" t="n"/>
      <c r="H83" s="16">
        <f>IF(A83="","",IF(SUMIFS($F$2:$F$221,$A$2:$A$221,A83)=SUMIFS($G$2:$G$221,$A$2:$A$221,A83),"OK","Descuadrado"))</f>
        <v/>
      </c>
    </row>
    <row r="84">
      <c r="A84" s="14" t="n"/>
      <c r="B84" s="13" t="n"/>
      <c r="C84" s="14" t="n"/>
      <c r="D84" s="14" t="n"/>
      <c r="E84" s="14" t="n"/>
      <c r="F84" s="15" t="n"/>
      <c r="G84" s="15" t="n"/>
      <c r="H84" s="16">
        <f>IF(A84="","",IF(SUMIFS($F$2:$F$221,$A$2:$A$221,A84)=SUMIFS($G$2:$G$221,$A$2:$A$221,A84),"OK","Descuadrado"))</f>
        <v/>
      </c>
    </row>
    <row r="85">
      <c r="A85" s="14" t="n"/>
      <c r="B85" s="13" t="n"/>
      <c r="C85" s="14" t="n"/>
      <c r="D85" s="14" t="n"/>
      <c r="E85" s="14" t="n"/>
      <c r="F85" s="15" t="n"/>
      <c r="G85" s="15" t="n"/>
      <c r="H85" s="16">
        <f>IF(A85="","",IF(SUMIFS($F$2:$F$221,$A$2:$A$221,A85)=SUMIFS($G$2:$G$221,$A$2:$A$221,A85),"OK","Descuadrado"))</f>
        <v/>
      </c>
    </row>
    <row r="86">
      <c r="A86" s="14" t="n"/>
      <c r="B86" s="13" t="n"/>
      <c r="C86" s="14" t="n"/>
      <c r="D86" s="14" t="n"/>
      <c r="E86" s="14" t="n"/>
      <c r="F86" s="15" t="n"/>
      <c r="G86" s="15" t="n"/>
      <c r="H86" s="16">
        <f>IF(A86="","",IF(SUMIFS($F$2:$F$221,$A$2:$A$221,A86)=SUMIFS($G$2:$G$221,$A$2:$A$221,A86),"OK","Descuadrado"))</f>
        <v/>
      </c>
    </row>
    <row r="87">
      <c r="A87" s="14" t="n"/>
      <c r="B87" s="13" t="n"/>
      <c r="C87" s="14" t="n"/>
      <c r="D87" s="14" t="n"/>
      <c r="E87" s="14" t="n"/>
      <c r="F87" s="15" t="n"/>
      <c r="G87" s="15" t="n"/>
      <c r="H87" s="16">
        <f>IF(A87="","",IF(SUMIFS($F$2:$F$221,$A$2:$A$221,A87)=SUMIFS($G$2:$G$221,$A$2:$A$221,A87),"OK","Descuadrado"))</f>
        <v/>
      </c>
    </row>
    <row r="88">
      <c r="A88" s="14" t="n"/>
      <c r="B88" s="13" t="n"/>
      <c r="C88" s="14" t="n"/>
      <c r="D88" s="14" t="n"/>
      <c r="E88" s="14" t="n"/>
      <c r="F88" s="15" t="n"/>
      <c r="G88" s="15" t="n"/>
      <c r="H88" s="16">
        <f>IF(A88="","",IF(SUMIFS($F$2:$F$221,$A$2:$A$221,A88)=SUMIFS($G$2:$G$221,$A$2:$A$221,A88),"OK","Descuadrado"))</f>
        <v/>
      </c>
    </row>
    <row r="89">
      <c r="A89" s="14" t="n"/>
      <c r="B89" s="13" t="n"/>
      <c r="C89" s="14" t="n"/>
      <c r="D89" s="14" t="n"/>
      <c r="E89" s="14" t="n"/>
      <c r="F89" s="15" t="n"/>
      <c r="G89" s="15" t="n"/>
      <c r="H89" s="16">
        <f>IF(A89="","",IF(SUMIFS($F$2:$F$221,$A$2:$A$221,A89)=SUMIFS($G$2:$G$221,$A$2:$A$221,A89),"OK","Descuadrado"))</f>
        <v/>
      </c>
    </row>
    <row r="90">
      <c r="A90" s="14" t="n"/>
      <c r="B90" s="13" t="n"/>
      <c r="C90" s="14" t="n"/>
      <c r="D90" s="14" t="n"/>
      <c r="E90" s="14" t="n"/>
      <c r="F90" s="15" t="n"/>
      <c r="G90" s="15" t="n"/>
      <c r="H90" s="16">
        <f>IF(A90="","",IF(SUMIFS($F$2:$F$221,$A$2:$A$221,A90)=SUMIFS($G$2:$G$221,$A$2:$A$221,A90),"OK","Descuadrado"))</f>
        <v/>
      </c>
    </row>
    <row r="91">
      <c r="A91" s="14" t="n"/>
      <c r="B91" s="13" t="n"/>
      <c r="C91" s="14" t="n"/>
      <c r="D91" s="14" t="n"/>
      <c r="E91" s="14" t="n"/>
      <c r="F91" s="15" t="n"/>
      <c r="G91" s="15" t="n"/>
      <c r="H91" s="16">
        <f>IF(A91="","",IF(SUMIFS($F$2:$F$221,$A$2:$A$221,A91)=SUMIFS($G$2:$G$221,$A$2:$A$221,A91),"OK","Descuadrado"))</f>
        <v/>
      </c>
    </row>
    <row r="92">
      <c r="A92" s="14" t="n"/>
      <c r="B92" s="13" t="n"/>
      <c r="C92" s="14" t="n"/>
      <c r="D92" s="14" t="n"/>
      <c r="E92" s="14" t="n"/>
      <c r="F92" s="15" t="n"/>
      <c r="G92" s="15" t="n"/>
      <c r="H92" s="16">
        <f>IF(A92="","",IF(SUMIFS($F$2:$F$221,$A$2:$A$221,A92)=SUMIFS($G$2:$G$221,$A$2:$A$221,A92),"OK","Descuadrado"))</f>
        <v/>
      </c>
    </row>
    <row r="93">
      <c r="A93" s="14" t="n"/>
      <c r="B93" s="13" t="n"/>
      <c r="C93" s="14" t="n"/>
      <c r="D93" s="14" t="n"/>
      <c r="E93" s="14" t="n"/>
      <c r="F93" s="15" t="n"/>
      <c r="G93" s="15" t="n"/>
      <c r="H93" s="16">
        <f>IF(A93="","",IF(SUMIFS($F$2:$F$221,$A$2:$A$221,A93)=SUMIFS($G$2:$G$221,$A$2:$A$221,A93),"OK","Descuadrado"))</f>
        <v/>
      </c>
    </row>
    <row r="94">
      <c r="A94" s="14" t="n"/>
      <c r="B94" s="13" t="n"/>
      <c r="C94" s="14" t="n"/>
      <c r="D94" s="14" t="n"/>
      <c r="E94" s="14" t="n"/>
      <c r="F94" s="15" t="n"/>
      <c r="G94" s="15" t="n"/>
      <c r="H94" s="16">
        <f>IF(A94="","",IF(SUMIFS($F$2:$F$221,$A$2:$A$221,A94)=SUMIFS($G$2:$G$221,$A$2:$A$221,A94),"OK","Descuadrado"))</f>
        <v/>
      </c>
    </row>
    <row r="95">
      <c r="A95" s="14" t="n"/>
      <c r="B95" s="13" t="n"/>
      <c r="C95" s="14" t="n"/>
      <c r="D95" s="14" t="n"/>
      <c r="E95" s="14" t="n"/>
      <c r="F95" s="15" t="n"/>
      <c r="G95" s="15" t="n"/>
      <c r="H95" s="16">
        <f>IF(A95="","",IF(SUMIFS($F$2:$F$221,$A$2:$A$221,A95)=SUMIFS($G$2:$G$221,$A$2:$A$221,A95),"OK","Descuadrado"))</f>
        <v/>
      </c>
    </row>
    <row r="96">
      <c r="A96" s="14" t="n"/>
      <c r="B96" s="13" t="n"/>
      <c r="C96" s="14" t="n"/>
      <c r="D96" s="14" t="n"/>
      <c r="E96" s="14" t="n"/>
      <c r="F96" s="15" t="n"/>
      <c r="G96" s="15" t="n"/>
      <c r="H96" s="16">
        <f>IF(A96="","",IF(SUMIFS($F$2:$F$221,$A$2:$A$221,A96)=SUMIFS($G$2:$G$221,$A$2:$A$221,A96),"OK","Descuadrado"))</f>
        <v/>
      </c>
    </row>
    <row r="97">
      <c r="A97" s="14" t="n"/>
      <c r="B97" s="13" t="n"/>
      <c r="C97" s="14" t="n"/>
      <c r="D97" s="14" t="n"/>
      <c r="E97" s="14" t="n"/>
      <c r="F97" s="15" t="n"/>
      <c r="G97" s="15" t="n"/>
      <c r="H97" s="16">
        <f>IF(A97="","",IF(SUMIFS($F$2:$F$221,$A$2:$A$221,A97)=SUMIFS($G$2:$G$221,$A$2:$A$221,A97),"OK","Descuadrado"))</f>
        <v/>
      </c>
    </row>
    <row r="98">
      <c r="A98" s="14" t="n"/>
      <c r="B98" s="13" t="n"/>
      <c r="C98" s="14" t="n"/>
      <c r="D98" s="14" t="n"/>
      <c r="E98" s="14" t="n"/>
      <c r="F98" s="15" t="n"/>
      <c r="G98" s="15" t="n"/>
      <c r="H98" s="16">
        <f>IF(A98="","",IF(SUMIFS($F$2:$F$221,$A$2:$A$221,A98)=SUMIFS($G$2:$G$221,$A$2:$A$221,A98),"OK","Descuadrado"))</f>
        <v/>
      </c>
    </row>
    <row r="99">
      <c r="A99" s="14" t="n"/>
      <c r="B99" s="13" t="n"/>
      <c r="C99" s="14" t="n"/>
      <c r="D99" s="14" t="n"/>
      <c r="E99" s="14" t="n"/>
      <c r="F99" s="15" t="n"/>
      <c r="G99" s="15" t="n"/>
      <c r="H99" s="16">
        <f>IF(A99="","",IF(SUMIFS($F$2:$F$221,$A$2:$A$221,A99)=SUMIFS($G$2:$G$221,$A$2:$A$221,A99),"OK","Descuadrado"))</f>
        <v/>
      </c>
    </row>
    <row r="100">
      <c r="A100" s="14" t="n"/>
      <c r="B100" s="13" t="n"/>
      <c r="C100" s="14" t="n"/>
      <c r="D100" s="14" t="n"/>
      <c r="E100" s="14" t="n"/>
      <c r="F100" s="15" t="n"/>
      <c r="G100" s="15" t="n"/>
      <c r="H100" s="16">
        <f>IF(A100="","",IF(SUMIFS($F$2:$F$221,$A$2:$A$221,A100)=SUMIFS($G$2:$G$221,$A$2:$A$221,A100),"OK","Descuadrado"))</f>
        <v/>
      </c>
    </row>
    <row r="101">
      <c r="A101" s="14" t="n"/>
      <c r="B101" s="13" t="n"/>
      <c r="C101" s="14" t="n"/>
      <c r="D101" s="14" t="n"/>
      <c r="E101" s="14" t="n"/>
      <c r="F101" s="15" t="n"/>
      <c r="G101" s="15" t="n"/>
      <c r="H101" s="16">
        <f>IF(A101="","",IF(SUMIFS($F$2:$F$221,$A$2:$A$221,A101)=SUMIFS($G$2:$G$221,$A$2:$A$221,A101),"OK","Descuadrado"))</f>
        <v/>
      </c>
    </row>
    <row r="102">
      <c r="A102" s="14" t="n"/>
      <c r="B102" s="13" t="n"/>
      <c r="C102" s="14" t="n"/>
      <c r="D102" s="14" t="n"/>
      <c r="E102" s="14" t="n"/>
      <c r="F102" s="15" t="n"/>
      <c r="G102" s="15" t="n"/>
      <c r="H102" s="16">
        <f>IF(A102="","",IF(SUMIFS($F$2:$F$221,$A$2:$A$221,A102)=SUMIFS($G$2:$G$221,$A$2:$A$221,A102),"OK","Descuadrado"))</f>
        <v/>
      </c>
    </row>
    <row r="103">
      <c r="A103" s="14" t="n"/>
      <c r="B103" s="13" t="n"/>
      <c r="C103" s="14" t="n"/>
      <c r="D103" s="14" t="n"/>
      <c r="E103" s="14" t="n"/>
      <c r="F103" s="15" t="n"/>
      <c r="G103" s="15" t="n"/>
      <c r="H103" s="16">
        <f>IF(A103="","",IF(SUMIFS($F$2:$F$221,$A$2:$A$221,A103)=SUMIFS($G$2:$G$221,$A$2:$A$221,A103),"OK","Descuadrado"))</f>
        <v/>
      </c>
    </row>
    <row r="104">
      <c r="A104" s="14" t="n"/>
      <c r="B104" s="13" t="n"/>
      <c r="C104" s="14" t="n"/>
      <c r="D104" s="14" t="n"/>
      <c r="E104" s="14" t="n"/>
      <c r="F104" s="15" t="n"/>
      <c r="G104" s="15" t="n"/>
      <c r="H104" s="16">
        <f>IF(A104="","",IF(SUMIFS($F$2:$F$221,$A$2:$A$221,A104)=SUMIFS($G$2:$G$221,$A$2:$A$221,A104),"OK","Descuadrado"))</f>
        <v/>
      </c>
    </row>
    <row r="105">
      <c r="A105" s="14" t="n"/>
      <c r="B105" s="13" t="n"/>
      <c r="C105" s="14" t="n"/>
      <c r="D105" s="14" t="n"/>
      <c r="E105" s="14" t="n"/>
      <c r="F105" s="15" t="n"/>
      <c r="G105" s="15" t="n"/>
      <c r="H105" s="16">
        <f>IF(A105="","",IF(SUMIFS($F$2:$F$221,$A$2:$A$221,A105)=SUMIFS($G$2:$G$221,$A$2:$A$221,A105),"OK","Descuadrado"))</f>
        <v/>
      </c>
    </row>
    <row r="106">
      <c r="A106" s="14" t="n"/>
      <c r="B106" s="13" t="n"/>
      <c r="C106" s="14" t="n"/>
      <c r="D106" s="14" t="n"/>
      <c r="E106" s="14" t="n"/>
      <c r="F106" s="15" t="n"/>
      <c r="G106" s="15" t="n"/>
      <c r="H106" s="16">
        <f>IF(A106="","",IF(SUMIFS($F$2:$F$221,$A$2:$A$221,A106)=SUMIFS($G$2:$G$221,$A$2:$A$221,A106),"OK","Descuadrado"))</f>
        <v/>
      </c>
    </row>
    <row r="107">
      <c r="A107" s="14" t="n"/>
      <c r="B107" s="13" t="n"/>
      <c r="C107" s="14" t="n"/>
      <c r="D107" s="14" t="n"/>
      <c r="E107" s="14" t="n"/>
      <c r="F107" s="15" t="n"/>
      <c r="G107" s="15" t="n"/>
      <c r="H107" s="16">
        <f>IF(A107="","",IF(SUMIFS($F$2:$F$221,$A$2:$A$221,A107)=SUMIFS($G$2:$G$221,$A$2:$A$221,A107),"OK","Descuadrado"))</f>
        <v/>
      </c>
    </row>
    <row r="108">
      <c r="A108" s="14" t="n"/>
      <c r="B108" s="13" t="n"/>
      <c r="C108" s="14" t="n"/>
      <c r="D108" s="14" t="n"/>
      <c r="E108" s="14" t="n"/>
      <c r="F108" s="15" t="n"/>
      <c r="G108" s="15" t="n"/>
      <c r="H108" s="16">
        <f>IF(A108="","",IF(SUMIFS($F$2:$F$221,$A$2:$A$221,A108)=SUMIFS($G$2:$G$221,$A$2:$A$221,A108),"OK","Descuadrado"))</f>
        <v/>
      </c>
    </row>
    <row r="109">
      <c r="A109" s="14" t="n"/>
      <c r="B109" s="13" t="n"/>
      <c r="C109" s="14" t="n"/>
      <c r="D109" s="14" t="n"/>
      <c r="E109" s="14" t="n"/>
      <c r="F109" s="15" t="n"/>
      <c r="G109" s="15" t="n"/>
      <c r="H109" s="16">
        <f>IF(A109="","",IF(SUMIFS($F$2:$F$221,$A$2:$A$221,A109)=SUMIFS($G$2:$G$221,$A$2:$A$221,A109),"OK","Descuadrado"))</f>
        <v/>
      </c>
    </row>
    <row r="110">
      <c r="A110" s="14" t="n"/>
      <c r="B110" s="13" t="n"/>
      <c r="C110" s="14" t="n"/>
      <c r="D110" s="14" t="n"/>
      <c r="E110" s="14" t="n"/>
      <c r="F110" s="15" t="n"/>
      <c r="G110" s="15" t="n"/>
      <c r="H110" s="16">
        <f>IF(A110="","",IF(SUMIFS($F$2:$F$221,$A$2:$A$221,A110)=SUMIFS($G$2:$G$221,$A$2:$A$221,A110),"OK","Descuadrado"))</f>
        <v/>
      </c>
    </row>
    <row r="111">
      <c r="A111" s="14" t="n"/>
      <c r="B111" s="13" t="n"/>
      <c r="C111" s="14" t="n"/>
      <c r="D111" s="14" t="n"/>
      <c r="E111" s="14" t="n"/>
      <c r="F111" s="15" t="n"/>
      <c r="G111" s="15" t="n"/>
      <c r="H111" s="16">
        <f>IF(A111="","",IF(SUMIFS($F$2:$F$221,$A$2:$A$221,A111)=SUMIFS($G$2:$G$221,$A$2:$A$221,A111),"OK","Descuadrado"))</f>
        <v/>
      </c>
    </row>
    <row r="112">
      <c r="A112" s="14" t="n"/>
      <c r="B112" s="13" t="n"/>
      <c r="C112" s="14" t="n"/>
      <c r="D112" s="14" t="n"/>
      <c r="E112" s="14" t="n"/>
      <c r="F112" s="15" t="n"/>
      <c r="G112" s="15" t="n"/>
      <c r="H112" s="16">
        <f>IF(A112="","",IF(SUMIFS($F$2:$F$221,$A$2:$A$221,A112)=SUMIFS($G$2:$G$221,$A$2:$A$221,A112),"OK","Descuadrado"))</f>
        <v/>
      </c>
    </row>
    <row r="113">
      <c r="A113" s="14" t="n"/>
      <c r="B113" s="13" t="n"/>
      <c r="C113" s="14" t="n"/>
      <c r="D113" s="14" t="n"/>
      <c r="E113" s="14" t="n"/>
      <c r="F113" s="15" t="n"/>
      <c r="G113" s="15" t="n"/>
      <c r="H113" s="16">
        <f>IF(A113="","",IF(SUMIFS($F$2:$F$221,$A$2:$A$221,A113)=SUMIFS($G$2:$G$221,$A$2:$A$221,A113),"OK","Descuadrado"))</f>
        <v/>
      </c>
    </row>
    <row r="114">
      <c r="A114" s="14" t="n"/>
      <c r="B114" s="13" t="n"/>
      <c r="C114" s="14" t="n"/>
      <c r="D114" s="14" t="n"/>
      <c r="E114" s="14" t="n"/>
      <c r="F114" s="15" t="n"/>
      <c r="G114" s="15" t="n"/>
      <c r="H114" s="16">
        <f>IF(A114="","",IF(SUMIFS($F$2:$F$221,$A$2:$A$221,A114)=SUMIFS($G$2:$G$221,$A$2:$A$221,A114),"OK","Descuadrado"))</f>
        <v/>
      </c>
    </row>
    <row r="115">
      <c r="A115" s="14" t="n"/>
      <c r="B115" s="13" t="n"/>
      <c r="C115" s="14" t="n"/>
      <c r="D115" s="14" t="n"/>
      <c r="E115" s="14" t="n"/>
      <c r="F115" s="15" t="n"/>
      <c r="G115" s="15" t="n"/>
      <c r="H115" s="16">
        <f>IF(A115="","",IF(SUMIFS($F$2:$F$221,$A$2:$A$221,A115)=SUMIFS($G$2:$G$221,$A$2:$A$221,A115),"OK","Descuadrado"))</f>
        <v/>
      </c>
    </row>
    <row r="116">
      <c r="A116" s="14" t="n"/>
      <c r="B116" s="13" t="n"/>
      <c r="C116" s="14" t="n"/>
      <c r="D116" s="14" t="n"/>
      <c r="E116" s="14" t="n"/>
      <c r="F116" s="15" t="n"/>
      <c r="G116" s="15" t="n"/>
      <c r="H116" s="16">
        <f>IF(A116="","",IF(SUMIFS($F$2:$F$221,$A$2:$A$221,A116)=SUMIFS($G$2:$G$221,$A$2:$A$221,A116),"OK","Descuadrado"))</f>
        <v/>
      </c>
    </row>
    <row r="117">
      <c r="A117" s="14" t="n"/>
      <c r="B117" s="13" t="n"/>
      <c r="C117" s="14" t="n"/>
      <c r="D117" s="14" t="n"/>
      <c r="E117" s="14" t="n"/>
      <c r="F117" s="15" t="n"/>
      <c r="G117" s="15" t="n"/>
      <c r="H117" s="16">
        <f>IF(A117="","",IF(SUMIFS($F$2:$F$221,$A$2:$A$221,A117)=SUMIFS($G$2:$G$221,$A$2:$A$221,A117),"OK","Descuadrado"))</f>
        <v/>
      </c>
    </row>
    <row r="118">
      <c r="A118" s="14" t="n"/>
      <c r="B118" s="13" t="n"/>
      <c r="C118" s="14" t="n"/>
      <c r="D118" s="14" t="n"/>
      <c r="E118" s="14" t="n"/>
      <c r="F118" s="15" t="n"/>
      <c r="G118" s="15" t="n"/>
      <c r="H118" s="16">
        <f>IF(A118="","",IF(SUMIFS($F$2:$F$221,$A$2:$A$221,A118)=SUMIFS($G$2:$G$221,$A$2:$A$221,A118),"OK","Descuadrado"))</f>
        <v/>
      </c>
    </row>
    <row r="119">
      <c r="A119" s="14" t="n"/>
      <c r="B119" s="13" t="n"/>
      <c r="C119" s="14" t="n"/>
      <c r="D119" s="14" t="n"/>
      <c r="E119" s="14" t="n"/>
      <c r="F119" s="15" t="n"/>
      <c r="G119" s="15" t="n"/>
      <c r="H119" s="16">
        <f>IF(A119="","",IF(SUMIFS($F$2:$F$221,$A$2:$A$221,A119)=SUMIFS($G$2:$G$221,$A$2:$A$221,A119),"OK","Descuadrado"))</f>
        <v/>
      </c>
    </row>
    <row r="120">
      <c r="A120" s="14" t="n"/>
      <c r="B120" s="13" t="n"/>
      <c r="C120" s="14" t="n"/>
      <c r="D120" s="14" t="n"/>
      <c r="E120" s="14" t="n"/>
      <c r="F120" s="15" t="n"/>
      <c r="G120" s="15" t="n"/>
      <c r="H120" s="16">
        <f>IF(A120="","",IF(SUMIFS($F$2:$F$221,$A$2:$A$221,A120)=SUMIFS($G$2:$G$221,$A$2:$A$221,A120),"OK","Descuadrado"))</f>
        <v/>
      </c>
    </row>
    <row r="121">
      <c r="A121" s="14" t="n"/>
      <c r="B121" s="13" t="n"/>
      <c r="C121" s="14" t="n"/>
      <c r="D121" s="14" t="n"/>
      <c r="E121" s="14" t="n"/>
      <c r="F121" s="15" t="n"/>
      <c r="G121" s="15" t="n"/>
      <c r="H121" s="16">
        <f>IF(A121="","",IF(SUMIFS($F$2:$F$221,$A$2:$A$221,A121)=SUMIFS($G$2:$G$221,$A$2:$A$221,A121),"OK","Descuadrado"))</f>
        <v/>
      </c>
    </row>
    <row r="122">
      <c r="A122" s="14" t="n"/>
      <c r="B122" s="13" t="n"/>
      <c r="C122" s="14" t="n"/>
      <c r="D122" s="14" t="n"/>
      <c r="E122" s="14" t="n"/>
      <c r="F122" s="15" t="n"/>
      <c r="G122" s="15" t="n"/>
      <c r="H122" s="16">
        <f>IF(A122="","",IF(SUMIFS($F$2:$F$221,$A$2:$A$221,A122)=SUMIFS($G$2:$G$221,$A$2:$A$221,A122),"OK","Descuadrado"))</f>
        <v/>
      </c>
    </row>
    <row r="123">
      <c r="A123" s="14" t="n"/>
      <c r="B123" s="13" t="n"/>
      <c r="C123" s="14" t="n"/>
      <c r="D123" s="14" t="n"/>
      <c r="E123" s="14" t="n"/>
      <c r="F123" s="15" t="n"/>
      <c r="G123" s="15" t="n"/>
      <c r="H123" s="16">
        <f>IF(A123="","",IF(SUMIFS($F$2:$F$221,$A$2:$A$221,A123)=SUMIFS($G$2:$G$221,$A$2:$A$221,A123),"OK","Descuadrado"))</f>
        <v/>
      </c>
    </row>
    <row r="124">
      <c r="A124" s="14" t="n"/>
      <c r="B124" s="13" t="n"/>
      <c r="C124" s="14" t="n"/>
      <c r="D124" s="14" t="n"/>
      <c r="E124" s="14" t="n"/>
      <c r="F124" s="15" t="n"/>
      <c r="G124" s="15" t="n"/>
      <c r="H124" s="16">
        <f>IF(A124="","",IF(SUMIFS($F$2:$F$221,$A$2:$A$221,A124)=SUMIFS($G$2:$G$221,$A$2:$A$221,A124),"OK","Descuadrado"))</f>
        <v/>
      </c>
    </row>
    <row r="125">
      <c r="A125" s="14" t="n"/>
      <c r="B125" s="13" t="n"/>
      <c r="C125" s="14" t="n"/>
      <c r="D125" s="14" t="n"/>
      <c r="E125" s="14" t="n"/>
      <c r="F125" s="15" t="n"/>
      <c r="G125" s="15" t="n"/>
      <c r="H125" s="16">
        <f>IF(A125="","",IF(SUMIFS($F$2:$F$221,$A$2:$A$221,A125)=SUMIFS($G$2:$G$221,$A$2:$A$221,A125),"OK","Descuadrado"))</f>
        <v/>
      </c>
    </row>
    <row r="126">
      <c r="A126" s="14" t="n"/>
      <c r="B126" s="13" t="n"/>
      <c r="C126" s="14" t="n"/>
      <c r="D126" s="14" t="n"/>
      <c r="E126" s="14" t="n"/>
      <c r="F126" s="15" t="n"/>
      <c r="G126" s="15" t="n"/>
      <c r="H126" s="16">
        <f>IF(A126="","",IF(SUMIFS($F$2:$F$221,$A$2:$A$221,A126)=SUMIFS($G$2:$G$221,$A$2:$A$221,A126),"OK","Descuadrado"))</f>
        <v/>
      </c>
    </row>
    <row r="127">
      <c r="A127" s="14" t="n"/>
      <c r="B127" s="13" t="n"/>
      <c r="C127" s="14" t="n"/>
      <c r="D127" s="14" t="n"/>
      <c r="E127" s="14" t="n"/>
      <c r="F127" s="15" t="n"/>
      <c r="G127" s="15" t="n"/>
      <c r="H127" s="16">
        <f>IF(A127="","",IF(SUMIFS($F$2:$F$221,$A$2:$A$221,A127)=SUMIFS($G$2:$G$221,$A$2:$A$221,A127),"OK","Descuadrado"))</f>
        <v/>
      </c>
    </row>
    <row r="128">
      <c r="A128" s="14" t="n"/>
      <c r="B128" s="13" t="n"/>
      <c r="C128" s="14" t="n"/>
      <c r="D128" s="14" t="n"/>
      <c r="E128" s="14" t="n"/>
      <c r="F128" s="15" t="n"/>
      <c r="G128" s="15" t="n"/>
      <c r="H128" s="16">
        <f>IF(A128="","",IF(SUMIFS($F$2:$F$221,$A$2:$A$221,A128)=SUMIFS($G$2:$G$221,$A$2:$A$221,A128),"OK","Descuadrado"))</f>
        <v/>
      </c>
    </row>
    <row r="129">
      <c r="A129" s="14" t="n"/>
      <c r="B129" s="13" t="n"/>
      <c r="C129" s="14" t="n"/>
      <c r="D129" s="14" t="n"/>
      <c r="E129" s="14" t="n"/>
      <c r="F129" s="15" t="n"/>
      <c r="G129" s="15" t="n"/>
      <c r="H129" s="16">
        <f>IF(A129="","",IF(SUMIFS($F$2:$F$221,$A$2:$A$221,A129)=SUMIFS($G$2:$G$221,$A$2:$A$221,A129),"OK","Descuadrado"))</f>
        <v/>
      </c>
    </row>
    <row r="130">
      <c r="A130" s="14" t="n"/>
      <c r="B130" s="13" t="n"/>
      <c r="C130" s="14" t="n"/>
      <c r="D130" s="14" t="n"/>
      <c r="E130" s="14" t="n"/>
      <c r="F130" s="15" t="n"/>
      <c r="G130" s="15" t="n"/>
      <c r="H130" s="16">
        <f>IF(A130="","",IF(SUMIFS($F$2:$F$221,$A$2:$A$221,A130)=SUMIFS($G$2:$G$221,$A$2:$A$221,A130),"OK","Descuadrado"))</f>
        <v/>
      </c>
    </row>
    <row r="131">
      <c r="A131" s="14" t="n"/>
      <c r="B131" s="13" t="n"/>
      <c r="C131" s="14" t="n"/>
      <c r="D131" s="14" t="n"/>
      <c r="E131" s="14" t="n"/>
      <c r="F131" s="15" t="n"/>
      <c r="G131" s="15" t="n"/>
      <c r="H131" s="16">
        <f>IF(A131="","",IF(SUMIFS($F$2:$F$221,$A$2:$A$221,A131)=SUMIFS($G$2:$G$221,$A$2:$A$221,A131),"OK","Descuadrado"))</f>
        <v/>
      </c>
    </row>
    <row r="132">
      <c r="A132" s="14" t="n"/>
      <c r="B132" s="13" t="n"/>
      <c r="C132" s="14" t="n"/>
      <c r="D132" s="14" t="n"/>
      <c r="E132" s="14" t="n"/>
      <c r="F132" s="15" t="n"/>
      <c r="G132" s="15" t="n"/>
      <c r="H132" s="16">
        <f>IF(A132="","",IF(SUMIFS($F$2:$F$221,$A$2:$A$221,A132)=SUMIFS($G$2:$G$221,$A$2:$A$221,A132),"OK","Descuadrado"))</f>
        <v/>
      </c>
    </row>
    <row r="133">
      <c r="A133" s="14" t="n"/>
      <c r="B133" s="13" t="n"/>
      <c r="C133" s="14" t="n"/>
      <c r="D133" s="14" t="n"/>
      <c r="E133" s="14" t="n"/>
      <c r="F133" s="15" t="n"/>
      <c r="G133" s="15" t="n"/>
      <c r="H133" s="16">
        <f>IF(A133="","",IF(SUMIFS($F$2:$F$221,$A$2:$A$221,A133)=SUMIFS($G$2:$G$221,$A$2:$A$221,A133),"OK","Descuadrado"))</f>
        <v/>
      </c>
    </row>
    <row r="134">
      <c r="A134" s="14" t="n"/>
      <c r="B134" s="13" t="n"/>
      <c r="C134" s="14" t="n"/>
      <c r="D134" s="14" t="n"/>
      <c r="E134" s="14" t="n"/>
      <c r="F134" s="15" t="n"/>
      <c r="G134" s="15" t="n"/>
      <c r="H134" s="16">
        <f>IF(A134="","",IF(SUMIFS($F$2:$F$221,$A$2:$A$221,A134)=SUMIFS($G$2:$G$221,$A$2:$A$221,A134),"OK","Descuadrado"))</f>
        <v/>
      </c>
    </row>
    <row r="135">
      <c r="A135" s="14" t="n"/>
      <c r="B135" s="13" t="n"/>
      <c r="C135" s="14" t="n"/>
      <c r="D135" s="14" t="n"/>
      <c r="E135" s="14" t="n"/>
      <c r="F135" s="15" t="n"/>
      <c r="G135" s="15" t="n"/>
      <c r="H135" s="16">
        <f>IF(A135="","",IF(SUMIFS($F$2:$F$221,$A$2:$A$221,A135)=SUMIFS($G$2:$G$221,$A$2:$A$221,A135),"OK","Descuadrado"))</f>
        <v/>
      </c>
    </row>
    <row r="136">
      <c r="A136" s="14" t="n"/>
      <c r="B136" s="13" t="n"/>
      <c r="C136" s="14" t="n"/>
      <c r="D136" s="14" t="n"/>
      <c r="E136" s="14" t="n"/>
      <c r="F136" s="15" t="n"/>
      <c r="G136" s="15" t="n"/>
      <c r="H136" s="16">
        <f>IF(A136="","",IF(SUMIFS($F$2:$F$221,$A$2:$A$221,A136)=SUMIFS($G$2:$G$221,$A$2:$A$221,A136),"OK","Descuadrado"))</f>
        <v/>
      </c>
    </row>
    <row r="137">
      <c r="A137" s="14" t="n"/>
      <c r="B137" s="13" t="n"/>
      <c r="C137" s="14" t="n"/>
      <c r="D137" s="14" t="n"/>
      <c r="E137" s="14" t="n"/>
      <c r="F137" s="15" t="n"/>
      <c r="G137" s="15" t="n"/>
      <c r="H137" s="16">
        <f>IF(A137="","",IF(SUMIFS($F$2:$F$221,$A$2:$A$221,A137)=SUMIFS($G$2:$G$221,$A$2:$A$221,A137),"OK","Descuadrado"))</f>
        <v/>
      </c>
    </row>
    <row r="138">
      <c r="A138" s="14" t="n"/>
      <c r="B138" s="13" t="n"/>
      <c r="C138" s="14" t="n"/>
      <c r="D138" s="14" t="n"/>
      <c r="E138" s="14" t="n"/>
      <c r="F138" s="15" t="n"/>
      <c r="G138" s="15" t="n"/>
      <c r="H138" s="16">
        <f>IF(A138="","",IF(SUMIFS($F$2:$F$221,$A$2:$A$221,A138)=SUMIFS($G$2:$G$221,$A$2:$A$221,A138),"OK","Descuadrado"))</f>
        <v/>
      </c>
    </row>
    <row r="139">
      <c r="A139" s="14" t="n"/>
      <c r="B139" s="13" t="n"/>
      <c r="C139" s="14" t="n"/>
      <c r="D139" s="14" t="n"/>
      <c r="E139" s="14" t="n"/>
      <c r="F139" s="15" t="n"/>
      <c r="G139" s="15" t="n"/>
      <c r="H139" s="16">
        <f>IF(A139="","",IF(SUMIFS($F$2:$F$221,$A$2:$A$221,A139)=SUMIFS($G$2:$G$221,$A$2:$A$221,A139),"OK","Descuadrado"))</f>
        <v/>
      </c>
    </row>
    <row r="140">
      <c r="A140" s="14" t="n"/>
      <c r="B140" s="13" t="n"/>
      <c r="C140" s="14" t="n"/>
      <c r="D140" s="14" t="n"/>
      <c r="E140" s="14" t="n"/>
      <c r="F140" s="15" t="n"/>
      <c r="G140" s="15" t="n"/>
      <c r="H140" s="16">
        <f>IF(A140="","",IF(SUMIFS($F$2:$F$221,$A$2:$A$221,A140)=SUMIFS($G$2:$G$221,$A$2:$A$221,A140),"OK","Descuadrado"))</f>
        <v/>
      </c>
    </row>
    <row r="141">
      <c r="A141" s="14" t="n"/>
      <c r="B141" s="13" t="n"/>
      <c r="C141" s="14" t="n"/>
      <c r="D141" s="14" t="n"/>
      <c r="E141" s="14" t="n"/>
      <c r="F141" s="15" t="n"/>
      <c r="G141" s="15" t="n"/>
      <c r="H141" s="16">
        <f>IF(A141="","",IF(SUMIFS($F$2:$F$221,$A$2:$A$221,A141)=SUMIFS($G$2:$G$221,$A$2:$A$221,A141),"OK","Descuadrado"))</f>
        <v/>
      </c>
    </row>
    <row r="142">
      <c r="A142" s="14" t="n"/>
      <c r="B142" s="13" t="n"/>
      <c r="C142" s="14" t="n"/>
      <c r="D142" s="14" t="n"/>
      <c r="E142" s="14" t="n"/>
      <c r="F142" s="15" t="n"/>
      <c r="G142" s="15" t="n"/>
      <c r="H142" s="16">
        <f>IF(A142="","",IF(SUMIFS($F$2:$F$221,$A$2:$A$221,A142)=SUMIFS($G$2:$G$221,$A$2:$A$221,A142),"OK","Descuadrado"))</f>
        <v/>
      </c>
    </row>
    <row r="143">
      <c r="A143" s="14" t="n"/>
      <c r="B143" s="13" t="n"/>
      <c r="C143" s="14" t="n"/>
      <c r="D143" s="14" t="n"/>
      <c r="E143" s="14" t="n"/>
      <c r="F143" s="15" t="n"/>
      <c r="G143" s="15" t="n"/>
      <c r="H143" s="16">
        <f>IF(A143="","",IF(SUMIFS($F$2:$F$221,$A$2:$A$221,A143)=SUMIFS($G$2:$G$221,$A$2:$A$221,A143),"OK","Descuadrado"))</f>
        <v/>
      </c>
    </row>
    <row r="144">
      <c r="A144" s="14" t="n"/>
      <c r="B144" s="13" t="n"/>
      <c r="C144" s="14" t="n"/>
      <c r="D144" s="14" t="n"/>
      <c r="E144" s="14" t="n"/>
      <c r="F144" s="15" t="n"/>
      <c r="G144" s="15" t="n"/>
      <c r="H144" s="16">
        <f>IF(A144="","",IF(SUMIFS($F$2:$F$221,$A$2:$A$221,A144)=SUMIFS($G$2:$G$221,$A$2:$A$221,A144),"OK","Descuadrado"))</f>
        <v/>
      </c>
    </row>
    <row r="145">
      <c r="A145" s="14" t="n"/>
      <c r="B145" s="13" t="n"/>
      <c r="C145" s="14" t="n"/>
      <c r="D145" s="14" t="n"/>
      <c r="E145" s="14" t="n"/>
      <c r="F145" s="15" t="n"/>
      <c r="G145" s="15" t="n"/>
      <c r="H145" s="16">
        <f>IF(A145="","",IF(SUMIFS($F$2:$F$221,$A$2:$A$221,A145)=SUMIFS($G$2:$G$221,$A$2:$A$221,A145),"OK","Descuadrado"))</f>
        <v/>
      </c>
    </row>
    <row r="146">
      <c r="A146" s="14" t="n"/>
      <c r="B146" s="13" t="n"/>
      <c r="C146" s="14" t="n"/>
      <c r="D146" s="14" t="n"/>
      <c r="E146" s="14" t="n"/>
      <c r="F146" s="15" t="n"/>
      <c r="G146" s="15" t="n"/>
      <c r="H146" s="16">
        <f>IF(A146="","",IF(SUMIFS($F$2:$F$221,$A$2:$A$221,A146)=SUMIFS($G$2:$G$221,$A$2:$A$221,A146),"OK","Descuadrado"))</f>
        <v/>
      </c>
    </row>
    <row r="147">
      <c r="A147" s="14" t="n"/>
      <c r="B147" s="13" t="n"/>
      <c r="C147" s="14" t="n"/>
      <c r="D147" s="14" t="n"/>
      <c r="E147" s="14" t="n"/>
      <c r="F147" s="15" t="n"/>
      <c r="G147" s="15" t="n"/>
      <c r="H147" s="16">
        <f>IF(A147="","",IF(SUMIFS($F$2:$F$221,$A$2:$A$221,A147)=SUMIFS($G$2:$G$221,$A$2:$A$221,A147),"OK","Descuadrado"))</f>
        <v/>
      </c>
    </row>
    <row r="148">
      <c r="A148" s="14" t="n"/>
      <c r="B148" s="13" t="n"/>
      <c r="C148" s="14" t="n"/>
      <c r="D148" s="14" t="n"/>
      <c r="E148" s="14" t="n"/>
      <c r="F148" s="15" t="n"/>
      <c r="G148" s="15" t="n"/>
      <c r="H148" s="16">
        <f>IF(A148="","",IF(SUMIFS($F$2:$F$221,$A$2:$A$221,A148)=SUMIFS($G$2:$G$221,$A$2:$A$221,A148),"OK","Descuadrado"))</f>
        <v/>
      </c>
    </row>
    <row r="149">
      <c r="A149" s="14" t="n"/>
      <c r="B149" s="13" t="n"/>
      <c r="C149" s="14" t="n"/>
      <c r="D149" s="14" t="n"/>
      <c r="E149" s="14" t="n"/>
      <c r="F149" s="15" t="n"/>
      <c r="G149" s="15" t="n"/>
      <c r="H149" s="16">
        <f>IF(A149="","",IF(SUMIFS($F$2:$F$221,$A$2:$A$221,A149)=SUMIFS($G$2:$G$221,$A$2:$A$221,A149),"OK","Descuadrado"))</f>
        <v/>
      </c>
    </row>
    <row r="150">
      <c r="A150" s="14" t="n"/>
      <c r="B150" s="13" t="n"/>
      <c r="C150" s="14" t="n"/>
      <c r="D150" s="14" t="n"/>
      <c r="E150" s="14" t="n"/>
      <c r="F150" s="15" t="n"/>
      <c r="G150" s="15" t="n"/>
      <c r="H150" s="16">
        <f>IF(A150="","",IF(SUMIFS($F$2:$F$221,$A$2:$A$221,A150)=SUMIFS($G$2:$G$221,$A$2:$A$221,A150),"OK","Descuadrado"))</f>
        <v/>
      </c>
    </row>
    <row r="151">
      <c r="A151" s="14" t="n"/>
      <c r="B151" s="13" t="n"/>
      <c r="C151" s="14" t="n"/>
      <c r="D151" s="14" t="n"/>
      <c r="E151" s="14" t="n"/>
      <c r="F151" s="15" t="n"/>
      <c r="G151" s="15" t="n"/>
      <c r="H151" s="16">
        <f>IF(A151="","",IF(SUMIFS($F$2:$F$221,$A$2:$A$221,A151)=SUMIFS($G$2:$G$221,$A$2:$A$221,A151),"OK","Descuadrado"))</f>
        <v/>
      </c>
    </row>
    <row r="152">
      <c r="A152" s="14" t="n"/>
      <c r="B152" s="13" t="n"/>
      <c r="C152" s="14" t="n"/>
      <c r="D152" s="14" t="n"/>
      <c r="E152" s="14" t="n"/>
      <c r="F152" s="15" t="n"/>
      <c r="G152" s="15" t="n"/>
      <c r="H152" s="16">
        <f>IF(A152="","",IF(SUMIFS($F$2:$F$221,$A$2:$A$221,A152)=SUMIFS($G$2:$G$221,$A$2:$A$221,A152),"OK","Descuadrado"))</f>
        <v/>
      </c>
    </row>
    <row r="153">
      <c r="A153" s="14" t="n"/>
      <c r="B153" s="13" t="n"/>
      <c r="C153" s="14" t="n"/>
      <c r="D153" s="14" t="n"/>
      <c r="E153" s="14" t="n"/>
      <c r="F153" s="15" t="n"/>
      <c r="G153" s="15" t="n"/>
      <c r="H153" s="16">
        <f>IF(A153="","",IF(SUMIFS($F$2:$F$221,$A$2:$A$221,A153)=SUMIFS($G$2:$G$221,$A$2:$A$221,A153),"OK","Descuadrado"))</f>
        <v/>
      </c>
    </row>
    <row r="154">
      <c r="A154" s="14" t="n"/>
      <c r="B154" s="13" t="n"/>
      <c r="C154" s="14" t="n"/>
      <c r="D154" s="14" t="n"/>
      <c r="E154" s="14" t="n"/>
      <c r="F154" s="15" t="n"/>
      <c r="G154" s="15" t="n"/>
      <c r="H154" s="16">
        <f>IF(A154="","",IF(SUMIFS($F$2:$F$221,$A$2:$A$221,A154)=SUMIFS($G$2:$G$221,$A$2:$A$221,A154),"OK","Descuadrado"))</f>
        <v/>
      </c>
    </row>
    <row r="155">
      <c r="A155" s="14" t="n"/>
      <c r="B155" s="13" t="n"/>
      <c r="C155" s="14" t="n"/>
      <c r="D155" s="14" t="n"/>
      <c r="E155" s="14" t="n"/>
      <c r="F155" s="15" t="n"/>
      <c r="G155" s="15" t="n"/>
      <c r="H155" s="16">
        <f>IF(A155="","",IF(SUMIFS($F$2:$F$221,$A$2:$A$221,A155)=SUMIFS($G$2:$G$221,$A$2:$A$221,A155),"OK","Descuadrado"))</f>
        <v/>
      </c>
    </row>
    <row r="156">
      <c r="A156" s="14" t="n"/>
      <c r="B156" s="13" t="n"/>
      <c r="C156" s="14" t="n"/>
      <c r="D156" s="14" t="n"/>
      <c r="E156" s="14" t="n"/>
      <c r="F156" s="15" t="n"/>
      <c r="G156" s="15" t="n"/>
      <c r="H156" s="16">
        <f>IF(A156="","",IF(SUMIFS($F$2:$F$221,$A$2:$A$221,A156)=SUMIFS($G$2:$G$221,$A$2:$A$221,A156),"OK","Descuadrado"))</f>
        <v/>
      </c>
    </row>
    <row r="157">
      <c r="A157" s="14" t="n"/>
      <c r="B157" s="13" t="n"/>
      <c r="C157" s="14" t="n"/>
      <c r="D157" s="14" t="n"/>
      <c r="E157" s="14" t="n"/>
      <c r="F157" s="15" t="n"/>
      <c r="G157" s="15" t="n"/>
      <c r="H157" s="16">
        <f>IF(A157="","",IF(SUMIFS($F$2:$F$221,$A$2:$A$221,A157)=SUMIFS($G$2:$G$221,$A$2:$A$221,A157),"OK","Descuadrado"))</f>
        <v/>
      </c>
    </row>
    <row r="158">
      <c r="A158" s="14" t="n"/>
      <c r="B158" s="13" t="n"/>
      <c r="C158" s="14" t="n"/>
      <c r="D158" s="14" t="n"/>
      <c r="E158" s="14" t="n"/>
      <c r="F158" s="15" t="n"/>
      <c r="G158" s="15" t="n"/>
      <c r="H158" s="16">
        <f>IF(A158="","",IF(SUMIFS($F$2:$F$221,$A$2:$A$221,A158)=SUMIFS($G$2:$G$221,$A$2:$A$221,A158),"OK","Descuadrado"))</f>
        <v/>
      </c>
    </row>
    <row r="159">
      <c r="A159" s="14" t="n"/>
      <c r="B159" s="13" t="n"/>
      <c r="C159" s="14" t="n"/>
      <c r="D159" s="14" t="n"/>
      <c r="E159" s="14" t="n"/>
      <c r="F159" s="15" t="n"/>
      <c r="G159" s="15" t="n"/>
      <c r="H159" s="16">
        <f>IF(A159="","",IF(SUMIFS($F$2:$F$221,$A$2:$A$221,A159)=SUMIFS($G$2:$G$221,$A$2:$A$221,A159),"OK","Descuadrado"))</f>
        <v/>
      </c>
    </row>
    <row r="160">
      <c r="A160" s="14" t="n"/>
      <c r="B160" s="13" t="n"/>
      <c r="C160" s="14" t="n"/>
      <c r="D160" s="14" t="n"/>
      <c r="E160" s="14" t="n"/>
      <c r="F160" s="15" t="n"/>
      <c r="G160" s="15" t="n"/>
      <c r="H160" s="16">
        <f>IF(A160="","",IF(SUMIFS($F$2:$F$221,$A$2:$A$221,A160)=SUMIFS($G$2:$G$221,$A$2:$A$221,A160),"OK","Descuadrado"))</f>
        <v/>
      </c>
    </row>
    <row r="161">
      <c r="A161" s="14" t="n"/>
      <c r="B161" s="13" t="n"/>
      <c r="C161" s="14" t="n"/>
      <c r="D161" s="14" t="n"/>
      <c r="E161" s="14" t="n"/>
      <c r="F161" s="15" t="n"/>
      <c r="G161" s="15" t="n"/>
      <c r="H161" s="16">
        <f>IF(A161="","",IF(SUMIFS($F$2:$F$221,$A$2:$A$221,A161)=SUMIFS($G$2:$G$221,$A$2:$A$221,A161),"OK","Descuadrado"))</f>
        <v/>
      </c>
    </row>
    <row r="162">
      <c r="A162" s="14" t="n"/>
      <c r="B162" s="13" t="n"/>
      <c r="C162" s="14" t="n"/>
      <c r="D162" s="14" t="n"/>
      <c r="E162" s="14" t="n"/>
      <c r="F162" s="15" t="n"/>
      <c r="G162" s="15" t="n"/>
      <c r="H162" s="16">
        <f>IF(A162="","",IF(SUMIFS($F$2:$F$221,$A$2:$A$221,A162)=SUMIFS($G$2:$G$221,$A$2:$A$221,A162),"OK","Descuadrado"))</f>
        <v/>
      </c>
    </row>
    <row r="163">
      <c r="A163" s="14" t="n"/>
      <c r="B163" s="13" t="n"/>
      <c r="C163" s="14" t="n"/>
      <c r="D163" s="14" t="n"/>
      <c r="E163" s="14" t="n"/>
      <c r="F163" s="15" t="n"/>
      <c r="G163" s="15" t="n"/>
      <c r="H163" s="16">
        <f>IF(A163="","",IF(SUMIFS($F$2:$F$221,$A$2:$A$221,A163)=SUMIFS($G$2:$G$221,$A$2:$A$221,A163),"OK","Descuadrado"))</f>
        <v/>
      </c>
    </row>
    <row r="164">
      <c r="A164" s="14" t="n"/>
      <c r="B164" s="13" t="n"/>
      <c r="C164" s="14" t="n"/>
      <c r="D164" s="14" t="n"/>
      <c r="E164" s="14" t="n"/>
      <c r="F164" s="15" t="n"/>
      <c r="G164" s="15" t="n"/>
      <c r="H164" s="16">
        <f>IF(A164="","",IF(SUMIFS($F$2:$F$221,$A$2:$A$221,A164)=SUMIFS($G$2:$G$221,$A$2:$A$221,A164),"OK","Descuadrado"))</f>
        <v/>
      </c>
    </row>
    <row r="165">
      <c r="A165" s="14" t="n"/>
      <c r="B165" s="13" t="n"/>
      <c r="C165" s="14" t="n"/>
      <c r="D165" s="14" t="n"/>
      <c r="E165" s="14" t="n"/>
      <c r="F165" s="15" t="n"/>
      <c r="G165" s="15" t="n"/>
      <c r="H165" s="16">
        <f>IF(A165="","",IF(SUMIFS($F$2:$F$221,$A$2:$A$221,A165)=SUMIFS($G$2:$G$221,$A$2:$A$221,A165),"OK","Descuadrado"))</f>
        <v/>
      </c>
    </row>
    <row r="166">
      <c r="A166" s="14" t="n"/>
      <c r="B166" s="13" t="n"/>
      <c r="C166" s="14" t="n"/>
      <c r="D166" s="14" t="n"/>
      <c r="E166" s="14" t="n"/>
      <c r="F166" s="15" t="n"/>
      <c r="G166" s="15" t="n"/>
      <c r="H166" s="16">
        <f>IF(A166="","",IF(SUMIFS($F$2:$F$221,$A$2:$A$221,A166)=SUMIFS($G$2:$G$221,$A$2:$A$221,A166),"OK","Descuadrado"))</f>
        <v/>
      </c>
    </row>
    <row r="167">
      <c r="A167" s="14" t="n"/>
      <c r="B167" s="13" t="n"/>
      <c r="C167" s="14" t="n"/>
      <c r="D167" s="14" t="n"/>
      <c r="E167" s="14" t="n"/>
      <c r="F167" s="15" t="n"/>
      <c r="G167" s="15" t="n"/>
      <c r="H167" s="16">
        <f>IF(A167="","",IF(SUMIFS($F$2:$F$221,$A$2:$A$221,A167)=SUMIFS($G$2:$G$221,$A$2:$A$221,A167),"OK","Descuadrado"))</f>
        <v/>
      </c>
    </row>
    <row r="168">
      <c r="A168" s="14" t="n"/>
      <c r="B168" s="13" t="n"/>
      <c r="C168" s="14" t="n"/>
      <c r="D168" s="14" t="n"/>
      <c r="E168" s="14" t="n"/>
      <c r="F168" s="15" t="n"/>
      <c r="G168" s="15" t="n"/>
      <c r="H168" s="16">
        <f>IF(A168="","",IF(SUMIFS($F$2:$F$221,$A$2:$A$221,A168)=SUMIFS($G$2:$G$221,$A$2:$A$221,A168),"OK","Descuadrado"))</f>
        <v/>
      </c>
    </row>
    <row r="169">
      <c r="A169" s="14" t="n"/>
      <c r="B169" s="13" t="n"/>
      <c r="C169" s="14" t="n"/>
      <c r="D169" s="14" t="n"/>
      <c r="E169" s="14" t="n"/>
      <c r="F169" s="15" t="n"/>
      <c r="G169" s="15" t="n"/>
      <c r="H169" s="16">
        <f>IF(A169="","",IF(SUMIFS($F$2:$F$221,$A$2:$A$221,A169)=SUMIFS($G$2:$G$221,$A$2:$A$221,A169),"OK","Descuadrado"))</f>
        <v/>
      </c>
    </row>
    <row r="170">
      <c r="A170" s="14" t="n"/>
      <c r="B170" s="13" t="n"/>
      <c r="C170" s="14" t="n"/>
      <c r="D170" s="14" t="n"/>
      <c r="E170" s="14" t="n"/>
      <c r="F170" s="15" t="n"/>
      <c r="G170" s="15" t="n"/>
      <c r="H170" s="16">
        <f>IF(A170="","",IF(SUMIFS($F$2:$F$221,$A$2:$A$221,A170)=SUMIFS($G$2:$G$221,$A$2:$A$221,A170),"OK","Descuadrado"))</f>
        <v/>
      </c>
    </row>
    <row r="171">
      <c r="A171" s="14" t="n"/>
      <c r="B171" s="13" t="n"/>
      <c r="C171" s="14" t="n"/>
      <c r="D171" s="14" t="n"/>
      <c r="E171" s="14" t="n"/>
      <c r="F171" s="15" t="n"/>
      <c r="G171" s="15" t="n"/>
      <c r="H171" s="16">
        <f>IF(A171="","",IF(SUMIFS($F$2:$F$221,$A$2:$A$221,A171)=SUMIFS($G$2:$G$221,$A$2:$A$221,A171),"OK","Descuadrado"))</f>
        <v/>
      </c>
    </row>
    <row r="172">
      <c r="A172" s="14" t="n"/>
      <c r="B172" s="13" t="n"/>
      <c r="C172" s="14" t="n"/>
      <c r="D172" s="14" t="n"/>
      <c r="E172" s="14" t="n"/>
      <c r="F172" s="15" t="n"/>
      <c r="G172" s="15" t="n"/>
      <c r="H172" s="16">
        <f>IF(A172="","",IF(SUMIFS($F$2:$F$221,$A$2:$A$221,A172)=SUMIFS($G$2:$G$221,$A$2:$A$221,A172),"OK","Descuadrado"))</f>
        <v/>
      </c>
    </row>
    <row r="173">
      <c r="A173" s="14" t="n"/>
      <c r="B173" s="13" t="n"/>
      <c r="C173" s="14" t="n"/>
      <c r="D173" s="14" t="n"/>
      <c r="E173" s="14" t="n"/>
      <c r="F173" s="15" t="n"/>
      <c r="G173" s="15" t="n"/>
      <c r="H173" s="16">
        <f>IF(A173="","",IF(SUMIFS($F$2:$F$221,$A$2:$A$221,A173)=SUMIFS($G$2:$G$221,$A$2:$A$221,A173),"OK","Descuadrado"))</f>
        <v/>
      </c>
    </row>
    <row r="174">
      <c r="A174" s="14" t="n"/>
      <c r="B174" s="13" t="n"/>
      <c r="C174" s="14" t="n"/>
      <c r="D174" s="14" t="n"/>
      <c r="E174" s="14" t="n"/>
      <c r="F174" s="15" t="n"/>
      <c r="G174" s="15" t="n"/>
      <c r="H174" s="16">
        <f>IF(A174="","",IF(SUMIFS($F$2:$F$221,$A$2:$A$221,A174)=SUMIFS($G$2:$G$221,$A$2:$A$221,A174),"OK","Descuadrado"))</f>
        <v/>
      </c>
    </row>
    <row r="175">
      <c r="A175" s="14" t="n"/>
      <c r="B175" s="13" t="n"/>
      <c r="C175" s="14" t="n"/>
      <c r="D175" s="14" t="n"/>
      <c r="E175" s="14" t="n"/>
      <c r="F175" s="15" t="n"/>
      <c r="G175" s="15" t="n"/>
      <c r="H175" s="16">
        <f>IF(A175="","",IF(SUMIFS($F$2:$F$221,$A$2:$A$221,A175)=SUMIFS($G$2:$G$221,$A$2:$A$221,A175),"OK","Descuadrado"))</f>
        <v/>
      </c>
    </row>
    <row r="176">
      <c r="A176" s="14" t="n"/>
      <c r="B176" s="13" t="n"/>
      <c r="C176" s="14" t="n"/>
      <c r="D176" s="14" t="n"/>
      <c r="E176" s="14" t="n"/>
      <c r="F176" s="15" t="n"/>
      <c r="G176" s="15" t="n"/>
      <c r="H176" s="16">
        <f>IF(A176="","",IF(SUMIFS($F$2:$F$221,$A$2:$A$221,A176)=SUMIFS($G$2:$G$221,$A$2:$A$221,A176),"OK","Descuadrado"))</f>
        <v/>
      </c>
    </row>
    <row r="177">
      <c r="A177" s="14" t="n"/>
      <c r="B177" s="13" t="n"/>
      <c r="C177" s="14" t="n"/>
      <c r="D177" s="14" t="n"/>
      <c r="E177" s="14" t="n"/>
      <c r="F177" s="15" t="n"/>
      <c r="G177" s="15" t="n"/>
      <c r="H177" s="16">
        <f>IF(A177="","",IF(SUMIFS($F$2:$F$221,$A$2:$A$221,A177)=SUMIFS($G$2:$G$221,$A$2:$A$221,A177),"OK","Descuadrado"))</f>
        <v/>
      </c>
    </row>
    <row r="178">
      <c r="A178" s="14" t="n"/>
      <c r="B178" s="13" t="n"/>
      <c r="C178" s="14" t="n"/>
      <c r="D178" s="14" t="n"/>
      <c r="E178" s="14" t="n"/>
      <c r="F178" s="15" t="n"/>
      <c r="G178" s="15" t="n"/>
      <c r="H178" s="16">
        <f>IF(A178="","",IF(SUMIFS($F$2:$F$221,$A$2:$A$221,A178)=SUMIFS($G$2:$G$221,$A$2:$A$221,A178),"OK","Descuadrado"))</f>
        <v/>
      </c>
    </row>
    <row r="179">
      <c r="A179" s="14" t="n"/>
      <c r="B179" s="13" t="n"/>
      <c r="C179" s="14" t="n"/>
      <c r="D179" s="14" t="n"/>
      <c r="E179" s="14" t="n"/>
      <c r="F179" s="15" t="n"/>
      <c r="G179" s="15" t="n"/>
      <c r="H179" s="16">
        <f>IF(A179="","",IF(SUMIFS($F$2:$F$221,$A$2:$A$221,A179)=SUMIFS($G$2:$G$221,$A$2:$A$221,A179),"OK","Descuadrado"))</f>
        <v/>
      </c>
    </row>
    <row r="180">
      <c r="A180" s="14" t="n"/>
      <c r="B180" s="13" t="n"/>
      <c r="C180" s="14" t="n"/>
      <c r="D180" s="14" t="n"/>
      <c r="E180" s="14" t="n"/>
      <c r="F180" s="15" t="n"/>
      <c r="G180" s="15" t="n"/>
      <c r="H180" s="16">
        <f>IF(A180="","",IF(SUMIFS($F$2:$F$221,$A$2:$A$221,A180)=SUMIFS($G$2:$G$221,$A$2:$A$221,A180),"OK","Descuadrado"))</f>
        <v/>
      </c>
    </row>
    <row r="181">
      <c r="A181" s="14" t="n"/>
      <c r="B181" s="13" t="n"/>
      <c r="C181" s="14" t="n"/>
      <c r="D181" s="14" t="n"/>
      <c r="E181" s="14" t="n"/>
      <c r="F181" s="15" t="n"/>
      <c r="G181" s="15" t="n"/>
      <c r="H181" s="16">
        <f>IF(A181="","",IF(SUMIFS($F$2:$F$221,$A$2:$A$221,A181)=SUMIFS($G$2:$G$221,$A$2:$A$221,A181),"OK","Descuadrado"))</f>
        <v/>
      </c>
    </row>
    <row r="182">
      <c r="A182" s="14" t="n"/>
      <c r="B182" s="13" t="n"/>
      <c r="C182" s="14" t="n"/>
      <c r="D182" s="14" t="n"/>
      <c r="E182" s="14" t="n"/>
      <c r="F182" s="15" t="n"/>
      <c r="G182" s="15" t="n"/>
      <c r="H182" s="16">
        <f>IF(A182="","",IF(SUMIFS($F$2:$F$221,$A$2:$A$221,A182)=SUMIFS($G$2:$G$221,$A$2:$A$221,A182),"OK","Descuadrado"))</f>
        <v/>
      </c>
    </row>
    <row r="183">
      <c r="A183" s="14" t="n"/>
      <c r="B183" s="13" t="n"/>
      <c r="C183" s="14" t="n"/>
      <c r="D183" s="14" t="n"/>
      <c r="E183" s="14" t="n"/>
      <c r="F183" s="15" t="n"/>
      <c r="G183" s="15" t="n"/>
      <c r="H183" s="16">
        <f>IF(A183="","",IF(SUMIFS($F$2:$F$221,$A$2:$A$221,A183)=SUMIFS($G$2:$G$221,$A$2:$A$221,A183),"OK","Descuadrado"))</f>
        <v/>
      </c>
    </row>
    <row r="184">
      <c r="A184" s="14" t="n"/>
      <c r="B184" s="13" t="n"/>
      <c r="C184" s="14" t="n"/>
      <c r="D184" s="14" t="n"/>
      <c r="E184" s="14" t="n"/>
      <c r="F184" s="15" t="n"/>
      <c r="G184" s="15" t="n"/>
      <c r="H184" s="16">
        <f>IF(A184="","",IF(SUMIFS($F$2:$F$221,$A$2:$A$221,A184)=SUMIFS($G$2:$G$221,$A$2:$A$221,A184),"OK","Descuadrado"))</f>
        <v/>
      </c>
    </row>
    <row r="185">
      <c r="A185" s="14" t="n"/>
      <c r="B185" s="13" t="n"/>
      <c r="C185" s="14" t="n"/>
      <c r="D185" s="14" t="n"/>
      <c r="E185" s="14" t="n"/>
      <c r="F185" s="15" t="n"/>
      <c r="G185" s="15" t="n"/>
      <c r="H185" s="16">
        <f>IF(A185="","",IF(SUMIFS($F$2:$F$221,$A$2:$A$221,A185)=SUMIFS($G$2:$G$221,$A$2:$A$221,A185),"OK","Descuadrado"))</f>
        <v/>
      </c>
    </row>
    <row r="186">
      <c r="A186" s="14" t="n"/>
      <c r="B186" s="13" t="n"/>
      <c r="C186" s="14" t="n"/>
      <c r="D186" s="14" t="n"/>
      <c r="E186" s="14" t="n"/>
      <c r="F186" s="15" t="n"/>
      <c r="G186" s="15" t="n"/>
      <c r="H186" s="16">
        <f>IF(A186="","",IF(SUMIFS($F$2:$F$221,$A$2:$A$221,A186)=SUMIFS($G$2:$G$221,$A$2:$A$221,A186),"OK","Descuadrado"))</f>
        <v/>
      </c>
    </row>
    <row r="187">
      <c r="A187" s="14" t="n"/>
      <c r="B187" s="13" t="n"/>
      <c r="C187" s="14" t="n"/>
      <c r="D187" s="14" t="n"/>
      <c r="E187" s="14" t="n"/>
      <c r="F187" s="15" t="n"/>
      <c r="G187" s="15" t="n"/>
      <c r="H187" s="16">
        <f>IF(A187="","",IF(SUMIFS($F$2:$F$221,$A$2:$A$221,A187)=SUMIFS($G$2:$G$221,$A$2:$A$221,A187),"OK","Descuadrado"))</f>
        <v/>
      </c>
    </row>
    <row r="188">
      <c r="A188" s="14" t="n"/>
      <c r="B188" s="13" t="n"/>
      <c r="C188" s="14" t="n"/>
      <c r="D188" s="14" t="n"/>
      <c r="E188" s="14" t="n"/>
      <c r="F188" s="15" t="n"/>
      <c r="G188" s="15" t="n"/>
      <c r="H188" s="16">
        <f>IF(A188="","",IF(SUMIFS($F$2:$F$221,$A$2:$A$221,A188)=SUMIFS($G$2:$G$221,$A$2:$A$221,A188),"OK","Descuadrado"))</f>
        <v/>
      </c>
    </row>
    <row r="189">
      <c r="A189" s="14" t="n"/>
      <c r="B189" s="13" t="n"/>
      <c r="C189" s="14" t="n"/>
      <c r="D189" s="14" t="n"/>
      <c r="E189" s="14" t="n"/>
      <c r="F189" s="15" t="n"/>
      <c r="G189" s="15" t="n"/>
      <c r="H189" s="16">
        <f>IF(A189="","",IF(SUMIFS($F$2:$F$221,$A$2:$A$221,A189)=SUMIFS($G$2:$G$221,$A$2:$A$221,A189),"OK","Descuadrado"))</f>
        <v/>
      </c>
    </row>
    <row r="190">
      <c r="A190" s="14" t="n"/>
      <c r="B190" s="13" t="n"/>
      <c r="C190" s="14" t="n"/>
      <c r="D190" s="14" t="n"/>
      <c r="E190" s="14" t="n"/>
      <c r="F190" s="15" t="n"/>
      <c r="G190" s="15" t="n"/>
      <c r="H190" s="16">
        <f>IF(A190="","",IF(SUMIFS($F$2:$F$221,$A$2:$A$221,A190)=SUMIFS($G$2:$G$221,$A$2:$A$221,A190),"OK","Descuadrado"))</f>
        <v/>
      </c>
    </row>
    <row r="191">
      <c r="A191" s="14" t="n"/>
      <c r="B191" s="13" t="n"/>
      <c r="C191" s="14" t="n"/>
      <c r="D191" s="14" t="n"/>
      <c r="E191" s="14" t="n"/>
      <c r="F191" s="15" t="n"/>
      <c r="G191" s="15" t="n"/>
      <c r="H191" s="16">
        <f>IF(A191="","",IF(SUMIFS($F$2:$F$221,$A$2:$A$221,A191)=SUMIFS($G$2:$G$221,$A$2:$A$221,A191),"OK","Descuadrado"))</f>
        <v/>
      </c>
    </row>
    <row r="192">
      <c r="A192" s="14" t="n"/>
      <c r="B192" s="13" t="n"/>
      <c r="C192" s="14" t="n"/>
      <c r="D192" s="14" t="n"/>
      <c r="E192" s="14" t="n"/>
      <c r="F192" s="15" t="n"/>
      <c r="G192" s="15" t="n"/>
      <c r="H192" s="16">
        <f>IF(A192="","",IF(SUMIFS($F$2:$F$221,$A$2:$A$221,A192)=SUMIFS($G$2:$G$221,$A$2:$A$221,A192),"OK","Descuadrado"))</f>
        <v/>
      </c>
    </row>
    <row r="193">
      <c r="A193" s="14" t="n"/>
      <c r="B193" s="13" t="n"/>
      <c r="C193" s="14" t="n"/>
      <c r="D193" s="14" t="n"/>
      <c r="E193" s="14" t="n"/>
      <c r="F193" s="15" t="n"/>
      <c r="G193" s="15" t="n"/>
      <c r="H193" s="16">
        <f>IF(A193="","",IF(SUMIFS($F$2:$F$221,$A$2:$A$221,A193)=SUMIFS($G$2:$G$221,$A$2:$A$221,A193),"OK","Descuadrado"))</f>
        <v/>
      </c>
    </row>
    <row r="194">
      <c r="A194" s="14" t="n"/>
      <c r="B194" s="13" t="n"/>
      <c r="C194" s="14" t="n"/>
      <c r="D194" s="14" t="n"/>
      <c r="E194" s="14" t="n"/>
      <c r="F194" s="15" t="n"/>
      <c r="G194" s="15" t="n"/>
      <c r="H194" s="16">
        <f>IF(A194="","",IF(SUMIFS($F$2:$F$221,$A$2:$A$221,A194)=SUMIFS($G$2:$G$221,$A$2:$A$221,A194),"OK","Descuadrado"))</f>
        <v/>
      </c>
    </row>
    <row r="195">
      <c r="A195" s="14" t="n"/>
      <c r="B195" s="13" t="n"/>
      <c r="C195" s="14" t="n"/>
      <c r="D195" s="14" t="n"/>
      <c r="E195" s="14" t="n"/>
      <c r="F195" s="15" t="n"/>
      <c r="G195" s="15" t="n"/>
      <c r="H195" s="16">
        <f>IF(A195="","",IF(SUMIFS($F$2:$F$221,$A$2:$A$221,A195)=SUMIFS($G$2:$G$221,$A$2:$A$221,A195),"OK","Descuadrado"))</f>
        <v/>
      </c>
    </row>
    <row r="196">
      <c r="A196" s="14" t="n"/>
      <c r="B196" s="13" t="n"/>
      <c r="C196" s="14" t="n"/>
      <c r="D196" s="14" t="n"/>
      <c r="E196" s="14" t="n"/>
      <c r="F196" s="15" t="n"/>
      <c r="G196" s="15" t="n"/>
      <c r="H196" s="16">
        <f>IF(A196="","",IF(SUMIFS($F$2:$F$221,$A$2:$A$221,A196)=SUMIFS($G$2:$G$221,$A$2:$A$221,A196),"OK","Descuadrado"))</f>
        <v/>
      </c>
    </row>
    <row r="197">
      <c r="A197" s="14" t="n"/>
      <c r="B197" s="13" t="n"/>
      <c r="C197" s="14" t="n"/>
      <c r="D197" s="14" t="n"/>
      <c r="E197" s="14" t="n"/>
      <c r="F197" s="15" t="n"/>
      <c r="G197" s="15" t="n"/>
      <c r="H197" s="16">
        <f>IF(A197="","",IF(SUMIFS($F$2:$F$221,$A$2:$A$221,A197)=SUMIFS($G$2:$G$221,$A$2:$A$221,A197),"OK","Descuadrado"))</f>
        <v/>
      </c>
    </row>
    <row r="198">
      <c r="A198" s="14" t="n"/>
      <c r="B198" s="13" t="n"/>
      <c r="C198" s="14" t="n"/>
      <c r="D198" s="14" t="n"/>
      <c r="E198" s="14" t="n"/>
      <c r="F198" s="15" t="n"/>
      <c r="G198" s="15" t="n"/>
      <c r="H198" s="16">
        <f>IF(A198="","",IF(SUMIFS($F$2:$F$221,$A$2:$A$221,A198)=SUMIFS($G$2:$G$221,$A$2:$A$221,A198),"OK","Descuadrado"))</f>
        <v/>
      </c>
    </row>
    <row r="199">
      <c r="A199" s="14" t="n"/>
      <c r="B199" s="13" t="n"/>
      <c r="C199" s="14" t="n"/>
      <c r="D199" s="14" t="n"/>
      <c r="E199" s="14" t="n"/>
      <c r="F199" s="15" t="n"/>
      <c r="G199" s="15" t="n"/>
      <c r="H199" s="16">
        <f>IF(A199="","",IF(SUMIFS($F$2:$F$221,$A$2:$A$221,A199)=SUMIFS($G$2:$G$221,$A$2:$A$221,A199),"OK","Descuadrado"))</f>
        <v/>
      </c>
    </row>
    <row r="200">
      <c r="A200" s="14" t="n"/>
      <c r="B200" s="13" t="n"/>
      <c r="C200" s="14" t="n"/>
      <c r="D200" s="14" t="n"/>
      <c r="E200" s="14" t="n"/>
      <c r="F200" s="15" t="n"/>
      <c r="G200" s="15" t="n"/>
      <c r="H200" s="16">
        <f>IF(A200="","",IF(SUMIFS($F$2:$F$221,$A$2:$A$221,A200)=SUMIFS($G$2:$G$221,$A$2:$A$221,A200),"OK","Descuadrado"))</f>
        <v/>
      </c>
    </row>
    <row r="201">
      <c r="A201" s="14" t="n"/>
      <c r="B201" s="13" t="n"/>
      <c r="C201" s="14" t="n"/>
      <c r="D201" s="14" t="n"/>
      <c r="E201" s="14" t="n"/>
      <c r="F201" s="15" t="n"/>
      <c r="G201" s="15" t="n"/>
      <c r="H201" s="16">
        <f>IF(A201="","",IF(SUMIFS($F$2:$F$221,$A$2:$A$221,A201)=SUMIFS($G$2:$G$221,$A$2:$A$221,A201),"OK","Descuadrado"))</f>
        <v/>
      </c>
    </row>
    <row r="202">
      <c r="A202" s="14" t="n"/>
      <c r="B202" s="13" t="n"/>
      <c r="C202" s="14" t="n"/>
      <c r="D202" s="14" t="n"/>
      <c r="E202" s="14" t="n"/>
      <c r="F202" s="15" t="n"/>
      <c r="G202" s="15" t="n"/>
      <c r="H202" s="16">
        <f>IF(A202="","",IF(SUMIFS($F$2:$F$221,$A$2:$A$221,A202)=SUMIFS($G$2:$G$221,$A$2:$A$221,A202),"OK","Descuadrado"))</f>
        <v/>
      </c>
    </row>
    <row r="203">
      <c r="A203" s="14" t="n"/>
      <c r="B203" s="13" t="n"/>
      <c r="C203" s="14" t="n"/>
      <c r="D203" s="14" t="n"/>
      <c r="E203" s="14" t="n"/>
      <c r="F203" s="15" t="n"/>
      <c r="G203" s="15" t="n"/>
      <c r="H203" s="16">
        <f>IF(A203="","",IF(SUMIFS($F$2:$F$221,$A$2:$A$221,A203)=SUMIFS($G$2:$G$221,$A$2:$A$221,A203),"OK","Descuadrado"))</f>
        <v/>
      </c>
    </row>
    <row r="204">
      <c r="A204" s="14" t="n"/>
      <c r="B204" s="13" t="n"/>
      <c r="C204" s="14" t="n"/>
      <c r="D204" s="14" t="n"/>
      <c r="E204" s="14" t="n"/>
      <c r="F204" s="15" t="n"/>
      <c r="G204" s="15" t="n"/>
      <c r="H204" s="16">
        <f>IF(A204="","",IF(SUMIFS($F$2:$F$221,$A$2:$A$221,A204)=SUMIFS($G$2:$G$221,$A$2:$A$221,A204),"OK","Descuadrado"))</f>
        <v/>
      </c>
    </row>
    <row r="205">
      <c r="A205" s="14" t="n"/>
      <c r="B205" s="13" t="n"/>
      <c r="C205" s="14" t="n"/>
      <c r="D205" s="14" t="n"/>
      <c r="E205" s="14" t="n"/>
      <c r="F205" s="15" t="n"/>
      <c r="G205" s="15" t="n"/>
      <c r="H205" s="16">
        <f>IF(A205="","",IF(SUMIFS($F$2:$F$221,$A$2:$A$221,A205)=SUMIFS($G$2:$G$221,$A$2:$A$221,A205),"OK","Descuadrado"))</f>
        <v/>
      </c>
    </row>
    <row r="206">
      <c r="A206" s="14" t="n"/>
      <c r="B206" s="13" t="n"/>
      <c r="C206" s="14" t="n"/>
      <c r="D206" s="14" t="n"/>
      <c r="E206" s="14" t="n"/>
      <c r="F206" s="15" t="n"/>
      <c r="G206" s="15" t="n"/>
      <c r="H206" s="16">
        <f>IF(A206="","",IF(SUMIFS($F$2:$F$221,$A$2:$A$221,A206)=SUMIFS($G$2:$G$221,$A$2:$A$221,A206),"OK","Descuadrado"))</f>
        <v/>
      </c>
    </row>
    <row r="207">
      <c r="A207" s="14" t="n"/>
      <c r="B207" s="13" t="n"/>
      <c r="C207" s="14" t="n"/>
      <c r="D207" s="14" t="n"/>
      <c r="E207" s="14" t="n"/>
      <c r="F207" s="15" t="n"/>
      <c r="G207" s="15" t="n"/>
      <c r="H207" s="16">
        <f>IF(A207="","",IF(SUMIFS($F$2:$F$221,$A$2:$A$221,A207)=SUMIFS($G$2:$G$221,$A$2:$A$221,A207),"OK","Descuadrado"))</f>
        <v/>
      </c>
    </row>
    <row r="208">
      <c r="A208" s="14" t="n"/>
      <c r="B208" s="13" t="n"/>
      <c r="C208" s="14" t="n"/>
      <c r="D208" s="14" t="n"/>
      <c r="E208" s="14" t="n"/>
      <c r="F208" s="15" t="n"/>
      <c r="G208" s="15" t="n"/>
      <c r="H208" s="16">
        <f>IF(A208="","",IF(SUMIFS($F$2:$F$221,$A$2:$A$221,A208)=SUMIFS($G$2:$G$221,$A$2:$A$221,A208),"OK","Descuadrado"))</f>
        <v/>
      </c>
    </row>
    <row r="209">
      <c r="A209" s="14" t="n"/>
      <c r="B209" s="13" t="n"/>
      <c r="C209" s="14" t="n"/>
      <c r="D209" s="14" t="n"/>
      <c r="E209" s="14" t="n"/>
      <c r="F209" s="15" t="n"/>
      <c r="G209" s="15" t="n"/>
      <c r="H209" s="16">
        <f>IF(A209="","",IF(SUMIFS($F$2:$F$221,$A$2:$A$221,A209)=SUMIFS($G$2:$G$221,$A$2:$A$221,A209),"OK","Descuadrado"))</f>
        <v/>
      </c>
    </row>
    <row r="210">
      <c r="A210" s="14" t="n"/>
      <c r="B210" s="13" t="n"/>
      <c r="C210" s="14" t="n"/>
      <c r="D210" s="14" t="n"/>
      <c r="E210" s="14" t="n"/>
      <c r="F210" s="15" t="n"/>
      <c r="G210" s="15" t="n"/>
      <c r="H210" s="16">
        <f>IF(A210="","",IF(SUMIFS($F$2:$F$221,$A$2:$A$221,A210)=SUMIFS($G$2:$G$221,$A$2:$A$221,A210),"OK","Descuadrado"))</f>
        <v/>
      </c>
    </row>
    <row r="211">
      <c r="A211" s="14" t="n"/>
      <c r="B211" s="13" t="n"/>
      <c r="C211" s="14" t="n"/>
      <c r="D211" s="14" t="n"/>
      <c r="E211" s="14" t="n"/>
      <c r="F211" s="15" t="n"/>
      <c r="G211" s="15" t="n"/>
      <c r="H211" s="16">
        <f>IF(A211="","",IF(SUMIFS($F$2:$F$221,$A$2:$A$221,A211)=SUMIFS($G$2:$G$221,$A$2:$A$221,A211),"OK","Descuadrado"))</f>
        <v/>
      </c>
    </row>
    <row r="212">
      <c r="A212" s="14" t="n"/>
      <c r="B212" s="13" t="n"/>
      <c r="C212" s="14" t="n"/>
      <c r="D212" s="14" t="n"/>
      <c r="E212" s="14" t="n"/>
      <c r="F212" s="15" t="n"/>
      <c r="G212" s="15" t="n"/>
      <c r="H212" s="16">
        <f>IF(A212="","",IF(SUMIFS($F$2:$F$221,$A$2:$A$221,A212)=SUMIFS($G$2:$G$221,$A$2:$A$221,A212),"OK","Descuadrado"))</f>
        <v/>
      </c>
    </row>
    <row r="213">
      <c r="A213" s="14" t="n"/>
      <c r="B213" s="13" t="n"/>
      <c r="C213" s="14" t="n"/>
      <c r="D213" s="14" t="n"/>
      <c r="E213" s="14" t="n"/>
      <c r="F213" s="15" t="n"/>
      <c r="G213" s="15" t="n"/>
      <c r="H213" s="16">
        <f>IF(A213="","",IF(SUMIFS($F$2:$F$221,$A$2:$A$221,A213)=SUMIFS($G$2:$G$221,$A$2:$A$221,A213),"OK","Descuadrado"))</f>
        <v/>
      </c>
    </row>
    <row r="214">
      <c r="A214" s="14" t="n"/>
      <c r="B214" s="13" t="n"/>
      <c r="C214" s="14" t="n"/>
      <c r="D214" s="14" t="n"/>
      <c r="E214" s="14" t="n"/>
      <c r="F214" s="15" t="n"/>
      <c r="G214" s="15" t="n"/>
      <c r="H214" s="16">
        <f>IF(A214="","",IF(SUMIFS($F$2:$F$221,$A$2:$A$221,A214)=SUMIFS($G$2:$G$221,$A$2:$A$221,A214),"OK","Descuadrado"))</f>
        <v/>
      </c>
    </row>
    <row r="215">
      <c r="A215" s="14" t="n"/>
      <c r="B215" s="13" t="n"/>
      <c r="C215" s="14" t="n"/>
      <c r="D215" s="14" t="n"/>
      <c r="E215" s="14" t="n"/>
      <c r="F215" s="15" t="n"/>
      <c r="G215" s="15" t="n"/>
      <c r="H215" s="16">
        <f>IF(A215="","",IF(SUMIFS($F$2:$F$221,$A$2:$A$221,A215)=SUMIFS($G$2:$G$221,$A$2:$A$221,A215),"OK","Descuadrado"))</f>
        <v/>
      </c>
    </row>
    <row r="216">
      <c r="A216" s="14" t="n"/>
      <c r="B216" s="13" t="n"/>
      <c r="C216" s="14" t="n"/>
      <c r="D216" s="14" t="n"/>
      <c r="E216" s="14" t="n"/>
      <c r="F216" s="15" t="n"/>
      <c r="G216" s="15" t="n"/>
      <c r="H216" s="16">
        <f>IF(A216="","",IF(SUMIFS($F$2:$F$221,$A$2:$A$221,A216)=SUMIFS($G$2:$G$221,$A$2:$A$221,A216),"OK","Descuadrado"))</f>
        <v/>
      </c>
    </row>
    <row r="217">
      <c r="A217" s="14" t="n"/>
      <c r="B217" s="13" t="n"/>
      <c r="C217" s="14" t="n"/>
      <c r="D217" s="14" t="n"/>
      <c r="E217" s="14" t="n"/>
      <c r="F217" s="15" t="n"/>
      <c r="G217" s="15" t="n"/>
      <c r="H217" s="16">
        <f>IF(A217="","",IF(SUMIFS($F$2:$F$221,$A$2:$A$221,A217)=SUMIFS($G$2:$G$221,$A$2:$A$221,A217),"OK","Descuadrado"))</f>
        <v/>
      </c>
    </row>
    <row r="218">
      <c r="A218" s="14" t="n"/>
      <c r="B218" s="13" t="n"/>
      <c r="C218" s="14" t="n"/>
      <c r="D218" s="14" t="n"/>
      <c r="E218" s="14" t="n"/>
      <c r="F218" s="15" t="n"/>
      <c r="G218" s="15" t="n"/>
      <c r="H218" s="16">
        <f>IF(A218="","",IF(SUMIFS($F$2:$F$221,$A$2:$A$221,A218)=SUMIFS($G$2:$G$221,$A$2:$A$221,A218),"OK","Descuadrado"))</f>
        <v/>
      </c>
    </row>
    <row r="219">
      <c r="A219" s="14" t="n"/>
      <c r="B219" s="13" t="n"/>
      <c r="C219" s="14" t="n"/>
      <c r="D219" s="14" t="n"/>
      <c r="E219" s="14" t="n"/>
      <c r="F219" s="15" t="n"/>
      <c r="G219" s="15" t="n"/>
      <c r="H219" s="16">
        <f>IF(A219="","",IF(SUMIFS($F$2:$F$221,$A$2:$A$221,A219)=SUMIFS($G$2:$G$221,$A$2:$A$221,A219),"OK","Descuadrado"))</f>
        <v/>
      </c>
    </row>
    <row r="220">
      <c r="A220" s="14" t="n"/>
      <c r="B220" s="13" t="n"/>
      <c r="C220" s="14" t="n"/>
      <c r="D220" s="14" t="n"/>
      <c r="E220" s="14" t="n"/>
      <c r="F220" s="15" t="n"/>
      <c r="G220" s="15" t="n"/>
      <c r="H220" s="16">
        <f>IF(A220="","",IF(SUMIFS($F$2:$F$221,$A$2:$A$221,A220)=SUMIFS($G$2:$G$221,$A$2:$A$221,A220),"OK","Descuadrado"))</f>
        <v/>
      </c>
    </row>
    <row r="221">
      <c r="A221" s="14" t="n"/>
      <c r="B221" s="13" t="n"/>
      <c r="C221" s="14" t="n"/>
      <c r="D221" s="14" t="n"/>
      <c r="E221" s="14" t="n"/>
      <c r="F221" s="15" t="n"/>
      <c r="G221" s="15" t="n"/>
      <c r="H221" s="16">
        <f>IF(A221="","",IF(SUMIFS($F$2:$F$221,$A$2:$A$221,A221)=SUMIFS($G$2:$G$221,$A$2:$A$221,A221),"OK","Descuadrado"))</f>
        <v/>
      </c>
    </row>
  </sheetData>
  <conditionalFormatting sqref="H2:H221">
    <cfRule type="cellIs" priority="1" operator="equal" dxfId="0">
      <formula>"OK"</formula>
    </cfRule>
    <cfRule type="cellIs" priority="2" operator="equal" dxfId="1">
      <formula>"Revisar"</formula>
    </cfRule>
    <cfRule type="cellIs" priority="3" operator="equal" dxfId="1">
      <formula>"Descuadrado"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8" t="inlineStr">
        <is>
          <t>Código</t>
        </is>
      </c>
      <c r="B1" s="18" t="inlineStr">
        <is>
          <t>Cuenta</t>
        </is>
      </c>
    </row>
    <row r="2">
      <c r="A2" s="12" t="n">
        <v>1105</v>
      </c>
      <c r="B2" s="12" t="inlineStr">
        <is>
          <t>Caja</t>
        </is>
      </c>
    </row>
    <row r="3">
      <c r="A3" s="12" t="n">
        <v>1110</v>
      </c>
      <c r="B3" s="12" t="inlineStr">
        <is>
          <t>Bancos</t>
        </is>
      </c>
    </row>
    <row r="4">
      <c r="A4" s="12" t="n">
        <v>1305</v>
      </c>
      <c r="B4" s="12" t="inlineStr">
        <is>
          <t>Clientes nacionales</t>
        </is>
      </c>
    </row>
    <row r="5">
      <c r="A5" s="12" t="n">
        <v>1435</v>
      </c>
      <c r="B5" s="12" t="inlineStr">
        <is>
          <t>Mercancías no fabricadas por la empresa</t>
        </is>
      </c>
    </row>
    <row r="6">
      <c r="A6" s="12" t="n">
        <v>1528</v>
      </c>
      <c r="B6" s="12" t="inlineStr">
        <is>
          <t>Equipo de computación y comunicacion</t>
        </is>
      </c>
    </row>
    <row r="7">
      <c r="A7" s="12" t="n">
        <v>1592</v>
      </c>
      <c r="B7" s="12" t="inlineStr">
        <is>
          <t>Depreciación acumulada</t>
        </is>
      </c>
    </row>
    <row r="8">
      <c r="A8" s="12" t="n">
        <v>2205</v>
      </c>
      <c r="B8" s="12" t="inlineStr">
        <is>
          <t>Proveedores nacionales</t>
        </is>
      </c>
    </row>
    <row r="9">
      <c r="A9" s="12" t="n">
        <v>2370</v>
      </c>
      <c r="B9" s="12" t="inlineStr">
        <is>
          <t>Retenciones y aportes de nómina</t>
        </is>
      </c>
    </row>
    <row r="10">
      <c r="A10" s="12" t="n">
        <v>2408</v>
      </c>
      <c r="B10" s="12" t="inlineStr">
        <is>
          <t>Impuesto sobre las ventas por pagar (IVA)</t>
        </is>
      </c>
    </row>
    <row r="11">
      <c r="A11" s="12" t="n">
        <v>2505</v>
      </c>
      <c r="B11" s="12" t="inlineStr">
        <is>
          <t>Salarios por pagar</t>
        </is>
      </c>
    </row>
    <row r="12">
      <c r="A12" s="12" t="n">
        <v>3105</v>
      </c>
      <c r="B12" s="12" t="inlineStr">
        <is>
          <t>Capital suscrito y pagado</t>
        </is>
      </c>
    </row>
    <row r="13">
      <c r="A13" s="12" t="n">
        <v>4135</v>
      </c>
      <c r="B13" s="12" t="inlineStr">
        <is>
          <t>Ingresos por ventas</t>
        </is>
      </c>
    </row>
    <row r="14">
      <c r="A14" s="12" t="n">
        <v>4175</v>
      </c>
      <c r="B14" s="12" t="inlineStr">
        <is>
          <t>Devoluciones en ventas</t>
        </is>
      </c>
    </row>
    <row r="15">
      <c r="A15" s="12" t="n">
        <v>4210</v>
      </c>
      <c r="B15" s="12" t="inlineStr">
        <is>
          <t>Financieros (ingresos)</t>
        </is>
      </c>
    </row>
    <row r="16">
      <c r="A16" s="12" t="n">
        <v>4295</v>
      </c>
      <c r="B16" s="12" t="inlineStr">
        <is>
          <t>Diversos (ingresos)</t>
        </is>
      </c>
    </row>
    <row r="17">
      <c r="A17" s="12" t="n">
        <v>5105</v>
      </c>
      <c r="B17" s="12" t="inlineStr">
        <is>
          <t>Gastos de personal</t>
        </is>
      </c>
    </row>
    <row r="18">
      <c r="A18" s="12" t="n">
        <v>5115</v>
      </c>
      <c r="B18" s="12" t="inlineStr">
        <is>
          <t>Impuestos (GMF)</t>
        </is>
      </c>
    </row>
    <row r="19">
      <c r="A19" s="12" t="n">
        <v>5120</v>
      </c>
      <c r="B19" s="12" t="inlineStr">
        <is>
          <t>Arrendamientos</t>
        </is>
      </c>
    </row>
    <row r="20">
      <c r="A20" s="12" t="n">
        <v>5135</v>
      </c>
      <c r="B20" s="12" t="inlineStr">
        <is>
          <t>Servicios</t>
        </is>
      </c>
    </row>
    <row r="21">
      <c r="A21" s="12" t="n">
        <v>5145</v>
      </c>
      <c r="B21" s="12" t="inlineStr">
        <is>
          <t>Mantenimiento y reparaciones</t>
        </is>
      </c>
    </row>
    <row r="22">
      <c r="A22" s="12" t="n">
        <v>5160</v>
      </c>
      <c r="B22" s="12" t="inlineStr">
        <is>
          <t>Depreciaciones</t>
        </is>
      </c>
    </row>
    <row r="23">
      <c r="A23" s="12" t="n">
        <v>5195</v>
      </c>
      <c r="B23" s="12" t="inlineStr">
        <is>
          <t>Diversos (gastos)</t>
        </is>
      </c>
    </row>
    <row r="24">
      <c r="A24" s="12" t="n">
        <v>5305</v>
      </c>
      <c r="B24" s="12" t="inlineStr">
        <is>
          <t>Financieros (gastos)</t>
        </is>
      </c>
    </row>
    <row r="25">
      <c r="A25" s="12" t="n">
        <v>6135</v>
      </c>
      <c r="B25" s="12" t="inlineStr">
        <is>
          <t>Costo de ventas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78" customWidth="1" min="1" max="1"/>
    <col width="18" customWidth="1" min="2" max="2"/>
    <col width="12" customWidth="1" min="3" max="3"/>
  </cols>
  <sheetData>
    <row r="1">
      <c r="A1" s="19" t="inlineStr">
        <is>
          <t>Conciliación bancaria – 30 de noviembre de 2026</t>
        </is>
      </c>
    </row>
    <row r="2">
      <c r="A2" s="20" t="inlineStr">
        <is>
          <t>Compara el extracto con tu cuenta Bancos (1110) y concilia las partidas.</t>
        </is>
      </c>
    </row>
    <row r="4">
      <c r="A4" s="21" t="inlineStr">
        <is>
          <t>Saldo final según el extracto bancario</t>
        </is>
      </c>
      <c r="B4" s="15" t="n"/>
      <c r="C4" s="22" t="n"/>
    </row>
    <row r="5">
      <c r="A5" s="21" t="inlineStr">
        <is>
          <t>Saldo según tus libros (1110) ANTES de registrar cuota de manejo, GMF e intereses</t>
        </is>
      </c>
      <c r="B5" s="15" t="n"/>
      <c r="C5" s="22" t="n"/>
    </row>
    <row r="6">
      <c r="A6" s="21" t="inlineStr">
        <is>
          <t>(−) Cuota de manejo cobrada por el banco</t>
        </is>
      </c>
      <c r="B6" s="15" t="n"/>
      <c r="C6" s="22" t="n"/>
    </row>
    <row r="7">
      <c r="A7" s="21" t="inlineStr">
        <is>
          <t>(−) GMF 4 x 1000 cobrado por el banco</t>
        </is>
      </c>
      <c r="B7" s="15" t="n"/>
      <c r="C7" s="22" t="n"/>
    </row>
    <row r="8">
      <c r="A8" s="21" t="inlineStr">
        <is>
          <t>(+) Intereses abonados por el banco</t>
        </is>
      </c>
      <c r="B8" s="15" t="n"/>
      <c r="C8" s="22" t="n"/>
    </row>
    <row r="9">
      <c r="A9" s="21" t="inlineStr">
        <is>
          <t>Saldo conciliado de libros</t>
        </is>
      </c>
      <c r="B9" s="15" t="n"/>
      <c r="C9" s="16">
        <f>IF(B9="","",IF(B9=B5-B6-B7+B8,"OK","Revisar"))</f>
        <v/>
      </c>
    </row>
    <row r="10">
      <c r="A10" s="21" t="inlineStr">
        <is>
          <t>Diferencia con el extracto (debe ser 0)</t>
        </is>
      </c>
      <c r="B10" s="15" t="n"/>
      <c r="C10" s="16">
        <f>IF(B10="","",IF(AND(B10=B9-B4,B10=0),"OK","Revisar"))</f>
        <v/>
      </c>
    </row>
    <row r="11">
      <c r="A11" s="21" t="inlineStr">
        <is>
          <t>Saldo de la cuenta 1110 en tu Libro_Diario (automático)</t>
        </is>
      </c>
      <c r="B11" s="11">
        <f>SUMIFS(Libro_Diario!$F$2:$F$221,Libro_Diario!$D$2:$D$221,1110)-SUMIFS(Libro_Diario!$G$2:$G$221,Libro_Diario!$D$2:$D$221,1110)</f>
        <v/>
      </c>
      <c r="C11" s="16">
        <f>IF(B11=B4,"OK","Revisar")</f>
        <v/>
      </c>
    </row>
    <row r="13">
      <c r="A13" s="23" t="inlineStr">
        <is>
          <t>El último control compara tu libro diario con el extracto: da OK cuando ya registraste la cuota de manejo, el GMF y los intereses.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C00000"/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12" customWidth="1" min="3" max="3"/>
  </cols>
  <sheetData>
    <row r="1">
      <c r="A1" s="19" t="inlineStr">
        <is>
          <t>Liquidación de nómina – noviembre de 2026</t>
        </is>
      </c>
    </row>
    <row r="2">
      <c r="A2" s="20" t="inlineStr">
        <is>
          <t>Mes completo (30 días). Solo aportes del empleado: salud 4% y pensión 4%. Sin auxilio de transporte, aportes del empleador ni prestaciones.</t>
        </is>
      </c>
    </row>
    <row r="4">
      <c r="A4" s="21" t="inlineStr">
        <is>
          <t>Trabajador</t>
        </is>
      </c>
      <c r="B4" s="14" t="n"/>
      <c r="C4" s="22" t="n"/>
    </row>
    <row r="5">
      <c r="A5" s="21" t="inlineStr">
        <is>
          <t>Cargo</t>
        </is>
      </c>
      <c r="B5" s="14" t="n"/>
      <c r="C5" s="22" t="n"/>
    </row>
    <row r="6">
      <c r="A6" s="21" t="inlineStr">
        <is>
          <t>Salario mensual (tomado del contrato)</t>
        </is>
      </c>
      <c r="B6" s="15" t="n"/>
      <c r="C6" s="22" t="n"/>
    </row>
    <row r="7">
      <c r="A7" s="21" t="inlineStr">
        <is>
          <t>Días liquidados</t>
        </is>
      </c>
      <c r="B7" s="24" t="n"/>
      <c r="C7" s="16">
        <f>IF(B7="","",IF(B7=30,"OK","Revisar"))</f>
        <v/>
      </c>
    </row>
    <row r="8">
      <c r="A8" s="21" t="inlineStr">
        <is>
          <t>Aporte de salud del empleado (4%)</t>
        </is>
      </c>
      <c r="B8" s="15" t="n"/>
      <c r="C8" s="16">
        <f>IF(B8="","",IF(B8=ROUND(B6*Parametros!$B$3,0),"OK","Revisar"))</f>
        <v/>
      </c>
    </row>
    <row r="9">
      <c r="A9" s="21" t="inlineStr">
        <is>
          <t>Aporte de pensión del empleado (4%)</t>
        </is>
      </c>
      <c r="B9" s="15" t="n"/>
      <c r="C9" s="16">
        <f>IF(B9="","",IF(B9=ROUND(B6*Parametros!$B$4,0),"OK","Revisar"))</f>
        <v/>
      </c>
    </row>
    <row r="10">
      <c r="A10" s="21" t="inlineStr">
        <is>
          <t>Total deducciones</t>
        </is>
      </c>
      <c r="B10" s="15" t="n"/>
      <c r="C10" s="16">
        <f>IF(B10="","",IF(B10=B8+B9,"OK","Revisar"))</f>
        <v/>
      </c>
    </row>
    <row r="11">
      <c r="A11" s="21" t="inlineStr">
        <is>
          <t>Neto a pagar al trabajador</t>
        </is>
      </c>
      <c r="B11" s="15" t="n"/>
      <c r="C11" s="16">
        <f>IF(B11="","",IF(B11=B6-B10,"OK","Revisar"))</f>
        <v/>
      </c>
    </row>
    <row r="13">
      <c r="A13" s="23" t="inlineStr">
        <is>
          <t>El asiento de la nómina va en el Libro_Diario: gasto de personal contra retenciones y aportes de nómina y salarios por pagar.</t>
        </is>
      </c>
    </row>
  </sheetData>
  <conditionalFormatting sqref="C4:C1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C00000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4" customWidth="1" min="1" max="1"/>
    <col width="18" customWidth="1" min="2" max="2"/>
    <col width="12" customWidth="1" min="3" max="3"/>
  </cols>
  <sheetData>
    <row r="1">
      <c r="A1" s="19" t="inlineStr">
        <is>
          <t>Depreciación del equipo de cómputo – línea recta</t>
        </is>
      </c>
    </row>
    <row r="2">
      <c r="A2" s="20" t="inlineStr">
        <is>
          <t>El activo se deprecia por un mes completo en noviembre (convención del ejercicio).</t>
        </is>
      </c>
    </row>
    <row r="4">
      <c r="A4" s="21" t="inlineStr">
        <is>
          <t>Costo del activo (cuenta 1528, con el IVA como mayor valor)</t>
        </is>
      </c>
      <c r="B4" s="15" t="n"/>
      <c r="C4" s="22" t="n"/>
    </row>
    <row r="5">
      <c r="A5" s="21" t="inlineStr">
        <is>
          <t>Vida útil (meses)</t>
        </is>
      </c>
      <c r="B5" s="24" t="n"/>
      <c r="C5" s="16">
        <f>IF(B5="","",IF(B5=36,"OK","Revisar"))</f>
        <v/>
      </c>
    </row>
    <row r="6">
      <c r="A6" s="21" t="inlineStr">
        <is>
          <t>Valor residual</t>
        </is>
      </c>
      <c r="B6" s="15" t="n"/>
      <c r="C6" s="22" t="n"/>
    </row>
    <row r="7">
      <c r="A7" s="21" t="inlineStr">
        <is>
          <t>Depreciación mensual = (costo − residual) ÷ vida útil</t>
        </is>
      </c>
      <c r="B7" s="15" t="n"/>
      <c r="C7" s="16">
        <f>IF(B7="","",IF(B7=ROUND((B4-B6)/B5,0),"OK","Revisar"))</f>
        <v/>
      </c>
    </row>
    <row r="8">
      <c r="A8" s="21" t="inlineStr">
        <is>
          <t>Meses depreciados en noviembre</t>
        </is>
      </c>
      <c r="B8" s="24" t="n"/>
      <c r="C8" s="16">
        <f>IF(B8="","",IF(B8=1,"OK","Revisar"))</f>
        <v/>
      </c>
    </row>
    <row r="9">
      <c r="A9" s="21" t="inlineStr">
        <is>
          <t>Depreciación acumulada al 30/11/2026</t>
        </is>
      </c>
      <c r="B9" s="15" t="n"/>
      <c r="C9" s="16">
        <f>IF(B9="","",IF(B9=B7*B8,"OK","Revisar"))</f>
        <v/>
      </c>
    </row>
    <row r="10">
      <c r="A10" s="21" t="inlineStr">
        <is>
          <t>Valor en libros = costo − depreciación acumulada</t>
        </is>
      </c>
      <c r="B10" s="15" t="n"/>
      <c r="C10" s="16">
        <f>IF(B10="","",IF(B10=B4-B9,"OK","Revisar"))</f>
        <v/>
      </c>
    </row>
  </sheetData>
  <conditionalFormatting sqref="C4:C11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7F7F7F"/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IVA del periodo (automático desde tu Libro_Diario)</t>
        </is>
      </c>
    </row>
    <row r="2">
      <c r="A2" s="20" t="inlineStr">
        <is>
          <t>Cuenta 2408: los débitos son IVA de compras (descontable) y los créditos IVA de ventas (generado).</t>
        </is>
      </c>
    </row>
    <row r="4">
      <c r="A4" s="21" t="inlineStr">
        <is>
          <t>IVA generado en ventas (créditos de 2408)</t>
        </is>
      </c>
      <c r="B4" s="11">
        <f>SUMIFS(Libro_Diario!$G$2:$G$221,Libro_Diario!$D$2:$D$221,2408)</f>
        <v/>
      </c>
      <c r="C4" s="22" t="n"/>
    </row>
    <row r="5">
      <c r="A5" s="21" t="inlineStr">
        <is>
          <t>IVA descontable en compras (débitos de 2408)</t>
        </is>
      </c>
      <c r="B5" s="11">
        <f>SUMIFS(Libro_Diario!$F$2:$F$221,Libro_Diario!$D$2:$D$221,2408)</f>
        <v/>
      </c>
      <c r="C5" s="22" t="n"/>
    </row>
    <row r="6">
      <c r="A6" s="21" t="inlineStr">
        <is>
          <t>Saldo (generado − descontable)</t>
        </is>
      </c>
      <c r="B6" s="11">
        <f>B4-B5</f>
        <v/>
      </c>
      <c r="C6" s="22" t="n"/>
    </row>
    <row r="7">
      <c r="A7" s="21" t="inlineStr">
        <is>
          <t>Resultado</t>
        </is>
      </c>
      <c r="B7" s="9">
        <f>IF(B6&gt;0,"IVA por pagar",IF(B6&lt;0,"Saldo a favor","Sin saldo"))</f>
        <v/>
      </c>
      <c r="C7" s="22" t="n"/>
    </row>
    <row r="10">
      <c r="A10" s="23" t="inlineStr">
        <is>
          <t>Las devoluciones (notas crédito) ya reducen el IVA en tus asientos.</t>
        </is>
      </c>
    </row>
  </sheetData>
  <conditionalFormatting sqref="C4:C8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7F7F"/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9" t="inlineStr">
        <is>
          <t>Libro mayor – resumen por cuenta (automático)</t>
        </is>
      </c>
    </row>
    <row r="2">
      <c r="A2" s="20" t="inlineStr">
        <is>
          <t>Se calcula solo con lo que registres en Libro_Diario.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Total débitos</t>
        </is>
      </c>
      <c r="D3" s="8" t="inlineStr">
        <is>
          <t>Total créditos</t>
        </is>
      </c>
      <c r="E3" s="8" t="inlineStr">
        <is>
          <t>Saldo deudor</t>
        </is>
      </c>
      <c r="F3" s="8" t="inlineStr">
        <is>
          <t>Saldo acreedor</t>
        </is>
      </c>
    </row>
    <row r="4">
      <c r="A4" s="25" t="n">
        <v>1105</v>
      </c>
      <c r="B4" s="25" t="inlineStr">
        <is>
          <t>Caja</t>
        </is>
      </c>
      <c r="C4" s="26">
        <f>SUMIFS(Libro_Diario!$F$2:$F$221,Libro_Diario!$D$2:$D$221,A4)</f>
        <v/>
      </c>
      <c r="D4" s="26">
        <f>SUMIFS(Libro_Diario!$G$2:$G$221,Libro_Diario!$D$2:$D$221,A4)</f>
        <v/>
      </c>
      <c r="E4" s="26">
        <f>MAX(C4-D4,0)</f>
        <v/>
      </c>
      <c r="F4" s="26">
        <f>MAX(D4-C4,0)</f>
        <v/>
      </c>
    </row>
    <row r="5">
      <c r="A5" s="25" t="n">
        <v>1110</v>
      </c>
      <c r="B5" s="25" t="inlineStr">
        <is>
          <t>Bancos</t>
        </is>
      </c>
      <c r="C5" s="26">
        <f>SUMIFS(Libro_Diario!$F$2:$F$221,Libro_Diario!$D$2:$D$221,A5)</f>
        <v/>
      </c>
      <c r="D5" s="26">
        <f>SUMIFS(Libro_Diario!$G$2:$G$221,Libro_Diario!$D$2:$D$221,A5)</f>
        <v/>
      </c>
      <c r="E5" s="26">
        <f>MAX(C5-D5,0)</f>
        <v/>
      </c>
      <c r="F5" s="26">
        <f>MAX(D5-C5,0)</f>
        <v/>
      </c>
    </row>
    <row r="6">
      <c r="A6" s="25" t="n">
        <v>1305</v>
      </c>
      <c r="B6" s="25" t="inlineStr">
        <is>
          <t>Clientes nacionales</t>
        </is>
      </c>
      <c r="C6" s="26">
        <f>SUMIFS(Libro_Diario!$F$2:$F$221,Libro_Diario!$D$2:$D$221,A6)</f>
        <v/>
      </c>
      <c r="D6" s="26">
        <f>SUMIFS(Libro_Diario!$G$2:$G$221,Libro_Diario!$D$2:$D$221,A6)</f>
        <v/>
      </c>
      <c r="E6" s="26">
        <f>MAX(C6-D6,0)</f>
        <v/>
      </c>
      <c r="F6" s="26">
        <f>MAX(D6-C6,0)</f>
        <v/>
      </c>
    </row>
    <row r="7">
      <c r="A7" s="25" t="n">
        <v>1435</v>
      </c>
      <c r="B7" s="25" t="inlineStr">
        <is>
          <t>Mercancías no fabricadas por la empresa</t>
        </is>
      </c>
      <c r="C7" s="26">
        <f>SUMIFS(Libro_Diario!$F$2:$F$221,Libro_Diario!$D$2:$D$221,A7)</f>
        <v/>
      </c>
      <c r="D7" s="26">
        <f>SUMIFS(Libro_Diario!$G$2:$G$221,Libro_Diario!$D$2:$D$221,A7)</f>
        <v/>
      </c>
      <c r="E7" s="26">
        <f>MAX(C7-D7,0)</f>
        <v/>
      </c>
      <c r="F7" s="26">
        <f>MAX(D7-C7,0)</f>
        <v/>
      </c>
    </row>
    <row r="8">
      <c r="A8" s="25" t="n">
        <v>1528</v>
      </c>
      <c r="B8" s="25" t="inlineStr">
        <is>
          <t>Equipo de computación y comunicacion</t>
        </is>
      </c>
      <c r="C8" s="26">
        <f>SUMIFS(Libro_Diario!$F$2:$F$221,Libro_Diario!$D$2:$D$221,A8)</f>
        <v/>
      </c>
      <c r="D8" s="26">
        <f>SUMIFS(Libro_Diario!$G$2:$G$221,Libro_Diario!$D$2:$D$221,A8)</f>
        <v/>
      </c>
      <c r="E8" s="26">
        <f>MAX(C8-D8,0)</f>
        <v/>
      </c>
      <c r="F8" s="26">
        <f>MAX(D8-C8,0)</f>
        <v/>
      </c>
    </row>
    <row r="9">
      <c r="A9" s="25" t="n">
        <v>1592</v>
      </c>
      <c r="B9" s="25" t="inlineStr">
        <is>
          <t>Depreciación acumulada</t>
        </is>
      </c>
      <c r="C9" s="26">
        <f>SUMIFS(Libro_Diario!$F$2:$F$221,Libro_Diario!$D$2:$D$221,A9)</f>
        <v/>
      </c>
      <c r="D9" s="26">
        <f>SUMIFS(Libro_Diario!$G$2:$G$221,Libro_Diario!$D$2:$D$221,A9)</f>
        <v/>
      </c>
      <c r="E9" s="26">
        <f>MAX(C9-D9,0)</f>
        <v/>
      </c>
      <c r="F9" s="26">
        <f>MAX(D9-C9,0)</f>
        <v/>
      </c>
    </row>
    <row r="10">
      <c r="A10" s="25" t="n">
        <v>2205</v>
      </c>
      <c r="B10" s="25" t="inlineStr">
        <is>
          <t>Proveedores nacionales</t>
        </is>
      </c>
      <c r="C10" s="26">
        <f>SUMIFS(Libro_Diario!$F$2:$F$221,Libro_Diario!$D$2:$D$221,A10)</f>
        <v/>
      </c>
      <c r="D10" s="26">
        <f>SUMIFS(Libro_Diario!$G$2:$G$221,Libro_Diario!$D$2:$D$221,A10)</f>
        <v/>
      </c>
      <c r="E10" s="26">
        <f>MAX(C10-D10,0)</f>
        <v/>
      </c>
      <c r="F10" s="26">
        <f>MAX(D10-C10,0)</f>
        <v/>
      </c>
    </row>
    <row r="11">
      <c r="A11" s="25" t="n">
        <v>2370</v>
      </c>
      <c r="B11" s="25" t="inlineStr">
        <is>
          <t>Retenciones y aportes de nómina</t>
        </is>
      </c>
      <c r="C11" s="26">
        <f>SUMIFS(Libro_Diario!$F$2:$F$221,Libro_Diario!$D$2:$D$221,A11)</f>
        <v/>
      </c>
      <c r="D11" s="26">
        <f>SUMIFS(Libro_Diario!$G$2:$G$221,Libro_Diario!$D$2:$D$221,A11)</f>
        <v/>
      </c>
      <c r="E11" s="26">
        <f>MAX(C11-D11,0)</f>
        <v/>
      </c>
      <c r="F11" s="26">
        <f>MAX(D11-C11,0)</f>
        <v/>
      </c>
    </row>
    <row r="12">
      <c r="A12" s="25" t="n">
        <v>2408</v>
      </c>
      <c r="B12" s="25" t="inlineStr">
        <is>
          <t>Impuesto sobre las ventas por pagar (IVA)</t>
        </is>
      </c>
      <c r="C12" s="26">
        <f>SUMIFS(Libro_Diario!$F$2:$F$221,Libro_Diario!$D$2:$D$221,A12)</f>
        <v/>
      </c>
      <c r="D12" s="26">
        <f>SUMIFS(Libro_Diario!$G$2:$G$221,Libro_Diario!$D$2:$D$221,A12)</f>
        <v/>
      </c>
      <c r="E12" s="26">
        <f>MAX(C12-D12,0)</f>
        <v/>
      </c>
      <c r="F12" s="26">
        <f>MAX(D12-C12,0)</f>
        <v/>
      </c>
    </row>
    <row r="13">
      <c r="A13" s="25" t="n">
        <v>2505</v>
      </c>
      <c r="B13" s="25" t="inlineStr">
        <is>
          <t>Salarios por pagar</t>
        </is>
      </c>
      <c r="C13" s="26">
        <f>SUMIFS(Libro_Diario!$F$2:$F$221,Libro_Diario!$D$2:$D$221,A13)</f>
        <v/>
      </c>
      <c r="D13" s="26">
        <f>SUMIFS(Libro_Diario!$G$2:$G$221,Libro_Diario!$D$2:$D$221,A13)</f>
        <v/>
      </c>
      <c r="E13" s="26">
        <f>MAX(C13-D13,0)</f>
        <v/>
      </c>
      <c r="F13" s="26">
        <f>MAX(D13-C13,0)</f>
        <v/>
      </c>
    </row>
    <row r="14">
      <c r="A14" s="25" t="n">
        <v>3105</v>
      </c>
      <c r="B14" s="25" t="inlineStr">
        <is>
          <t>Capital suscrito y pagado</t>
        </is>
      </c>
      <c r="C14" s="26">
        <f>SUMIFS(Libro_Diario!$F$2:$F$221,Libro_Diario!$D$2:$D$221,A14)</f>
        <v/>
      </c>
      <c r="D14" s="26">
        <f>SUMIFS(Libro_Diario!$G$2:$G$221,Libro_Diario!$D$2:$D$221,A14)</f>
        <v/>
      </c>
      <c r="E14" s="26">
        <f>MAX(C14-D14,0)</f>
        <v/>
      </c>
      <c r="F14" s="26">
        <f>MAX(D14-C14,0)</f>
        <v/>
      </c>
    </row>
    <row r="15">
      <c r="A15" s="25" t="n">
        <v>4135</v>
      </c>
      <c r="B15" s="25" t="inlineStr">
        <is>
          <t>Ingresos por ventas</t>
        </is>
      </c>
      <c r="C15" s="26">
        <f>SUMIFS(Libro_Diario!$F$2:$F$221,Libro_Diario!$D$2:$D$221,A15)</f>
        <v/>
      </c>
      <c r="D15" s="26">
        <f>SUMIFS(Libro_Diario!$G$2:$G$221,Libro_Diario!$D$2:$D$221,A15)</f>
        <v/>
      </c>
      <c r="E15" s="26">
        <f>MAX(C15-D15,0)</f>
        <v/>
      </c>
      <c r="F15" s="26">
        <f>MAX(D15-C15,0)</f>
        <v/>
      </c>
    </row>
    <row r="16">
      <c r="A16" s="25" t="n">
        <v>4175</v>
      </c>
      <c r="B16" s="25" t="inlineStr">
        <is>
          <t>Devoluciones en ventas</t>
        </is>
      </c>
      <c r="C16" s="26">
        <f>SUMIFS(Libro_Diario!$F$2:$F$221,Libro_Diario!$D$2:$D$221,A16)</f>
        <v/>
      </c>
      <c r="D16" s="26">
        <f>SUMIFS(Libro_Diario!$G$2:$G$221,Libro_Diario!$D$2:$D$221,A16)</f>
        <v/>
      </c>
      <c r="E16" s="26">
        <f>MAX(C16-D16,0)</f>
        <v/>
      </c>
      <c r="F16" s="26">
        <f>MAX(D16-C16,0)</f>
        <v/>
      </c>
    </row>
    <row r="17">
      <c r="A17" s="25" t="n">
        <v>4210</v>
      </c>
      <c r="B17" s="25" t="inlineStr">
        <is>
          <t>Financieros (ingresos)</t>
        </is>
      </c>
      <c r="C17" s="26">
        <f>SUMIFS(Libro_Diario!$F$2:$F$221,Libro_Diario!$D$2:$D$221,A17)</f>
        <v/>
      </c>
      <c r="D17" s="26">
        <f>SUMIFS(Libro_Diario!$G$2:$G$221,Libro_Diario!$D$2:$D$221,A17)</f>
        <v/>
      </c>
      <c r="E17" s="26">
        <f>MAX(C17-D17,0)</f>
        <v/>
      </c>
      <c r="F17" s="26">
        <f>MAX(D17-C17,0)</f>
        <v/>
      </c>
    </row>
    <row r="18">
      <c r="A18" s="25" t="n">
        <v>4295</v>
      </c>
      <c r="B18" s="25" t="inlineStr">
        <is>
          <t>Diversos (ingresos)</t>
        </is>
      </c>
      <c r="C18" s="26">
        <f>SUMIFS(Libro_Diario!$F$2:$F$221,Libro_Diario!$D$2:$D$221,A18)</f>
        <v/>
      </c>
      <c r="D18" s="26">
        <f>SUMIFS(Libro_Diario!$G$2:$G$221,Libro_Diario!$D$2:$D$221,A18)</f>
        <v/>
      </c>
      <c r="E18" s="26">
        <f>MAX(C18-D18,0)</f>
        <v/>
      </c>
      <c r="F18" s="26">
        <f>MAX(D18-C18,0)</f>
        <v/>
      </c>
    </row>
    <row r="19">
      <c r="A19" s="25" t="n">
        <v>5105</v>
      </c>
      <c r="B19" s="25" t="inlineStr">
        <is>
          <t>Gastos de personal</t>
        </is>
      </c>
      <c r="C19" s="26">
        <f>SUMIFS(Libro_Diario!$F$2:$F$221,Libro_Diario!$D$2:$D$221,A19)</f>
        <v/>
      </c>
      <c r="D19" s="26">
        <f>SUMIFS(Libro_Diario!$G$2:$G$221,Libro_Diario!$D$2:$D$221,A19)</f>
        <v/>
      </c>
      <c r="E19" s="26">
        <f>MAX(C19-D19,0)</f>
        <v/>
      </c>
      <c r="F19" s="26">
        <f>MAX(D19-C19,0)</f>
        <v/>
      </c>
    </row>
    <row r="20">
      <c r="A20" s="25" t="n">
        <v>5115</v>
      </c>
      <c r="B20" s="25" t="inlineStr">
        <is>
          <t>Impuestos (GMF)</t>
        </is>
      </c>
      <c r="C20" s="26">
        <f>SUMIFS(Libro_Diario!$F$2:$F$221,Libro_Diario!$D$2:$D$221,A20)</f>
        <v/>
      </c>
      <c r="D20" s="26">
        <f>SUMIFS(Libro_Diario!$G$2:$G$221,Libro_Diario!$D$2:$D$221,A20)</f>
        <v/>
      </c>
      <c r="E20" s="26">
        <f>MAX(C20-D20,0)</f>
        <v/>
      </c>
      <c r="F20" s="26">
        <f>MAX(D20-C20,0)</f>
        <v/>
      </c>
    </row>
    <row r="21">
      <c r="A21" s="25" t="n">
        <v>5120</v>
      </c>
      <c r="B21" s="25" t="inlineStr">
        <is>
          <t>Arrendamientos</t>
        </is>
      </c>
      <c r="C21" s="26">
        <f>SUMIFS(Libro_Diario!$F$2:$F$221,Libro_Diario!$D$2:$D$221,A21)</f>
        <v/>
      </c>
      <c r="D21" s="26">
        <f>SUMIFS(Libro_Diario!$G$2:$G$221,Libro_Diario!$D$2:$D$221,A21)</f>
        <v/>
      </c>
      <c r="E21" s="26">
        <f>MAX(C21-D21,0)</f>
        <v/>
      </c>
      <c r="F21" s="26">
        <f>MAX(D21-C21,0)</f>
        <v/>
      </c>
    </row>
    <row r="22">
      <c r="A22" s="25" t="n">
        <v>5135</v>
      </c>
      <c r="B22" s="25" t="inlineStr">
        <is>
          <t>Servicios</t>
        </is>
      </c>
      <c r="C22" s="26">
        <f>SUMIFS(Libro_Diario!$F$2:$F$221,Libro_Diario!$D$2:$D$221,A22)</f>
        <v/>
      </c>
      <c r="D22" s="26">
        <f>SUMIFS(Libro_Diario!$G$2:$G$221,Libro_Diario!$D$2:$D$221,A22)</f>
        <v/>
      </c>
      <c r="E22" s="26">
        <f>MAX(C22-D22,0)</f>
        <v/>
      </c>
      <c r="F22" s="26">
        <f>MAX(D22-C22,0)</f>
        <v/>
      </c>
    </row>
    <row r="23">
      <c r="A23" s="25" t="n">
        <v>5145</v>
      </c>
      <c r="B23" s="25" t="inlineStr">
        <is>
          <t>Mantenimiento y reparaciones</t>
        </is>
      </c>
      <c r="C23" s="26">
        <f>SUMIFS(Libro_Diario!$F$2:$F$221,Libro_Diario!$D$2:$D$221,A23)</f>
        <v/>
      </c>
      <c r="D23" s="26">
        <f>SUMIFS(Libro_Diario!$G$2:$G$221,Libro_Diario!$D$2:$D$221,A23)</f>
        <v/>
      </c>
      <c r="E23" s="26">
        <f>MAX(C23-D23,0)</f>
        <v/>
      </c>
      <c r="F23" s="26">
        <f>MAX(D23-C23,0)</f>
        <v/>
      </c>
    </row>
    <row r="24">
      <c r="A24" s="25" t="n">
        <v>5160</v>
      </c>
      <c r="B24" s="25" t="inlineStr">
        <is>
          <t>Depreciaciones</t>
        </is>
      </c>
      <c r="C24" s="26">
        <f>SUMIFS(Libro_Diario!$F$2:$F$221,Libro_Diario!$D$2:$D$221,A24)</f>
        <v/>
      </c>
      <c r="D24" s="26">
        <f>SUMIFS(Libro_Diario!$G$2:$G$221,Libro_Diario!$D$2:$D$221,A24)</f>
        <v/>
      </c>
      <c r="E24" s="26">
        <f>MAX(C24-D24,0)</f>
        <v/>
      </c>
      <c r="F24" s="26">
        <f>MAX(D24-C24,0)</f>
        <v/>
      </c>
    </row>
    <row r="25">
      <c r="A25" s="25" t="n">
        <v>5195</v>
      </c>
      <c r="B25" s="25" t="inlineStr">
        <is>
          <t>Diversos (gastos)</t>
        </is>
      </c>
      <c r="C25" s="26">
        <f>SUMIFS(Libro_Diario!$F$2:$F$221,Libro_Diario!$D$2:$D$221,A25)</f>
        <v/>
      </c>
      <c r="D25" s="26">
        <f>SUMIFS(Libro_Diario!$G$2:$G$221,Libro_Diario!$D$2:$D$221,A25)</f>
        <v/>
      </c>
      <c r="E25" s="26">
        <f>MAX(C25-D25,0)</f>
        <v/>
      </c>
      <c r="F25" s="26">
        <f>MAX(D25-C25,0)</f>
        <v/>
      </c>
    </row>
    <row r="26">
      <c r="A26" s="25" t="n">
        <v>5305</v>
      </c>
      <c r="B26" s="25" t="inlineStr">
        <is>
          <t>Financieros (gastos)</t>
        </is>
      </c>
      <c r="C26" s="26">
        <f>SUMIFS(Libro_Diario!$F$2:$F$221,Libro_Diario!$D$2:$D$221,A26)</f>
        <v/>
      </c>
      <c r="D26" s="26">
        <f>SUMIFS(Libro_Diario!$G$2:$G$221,Libro_Diario!$D$2:$D$221,A26)</f>
        <v/>
      </c>
      <c r="E26" s="26">
        <f>MAX(C26-D26,0)</f>
        <v/>
      </c>
      <c r="F26" s="26">
        <f>MAX(D26-C26,0)</f>
        <v/>
      </c>
    </row>
    <row r="27">
      <c r="A27" s="25" t="n">
        <v>6135</v>
      </c>
      <c r="B27" s="25" t="inlineStr">
        <is>
          <t>Costo de ventas</t>
        </is>
      </c>
      <c r="C27" s="26">
        <f>SUMIFS(Libro_Diario!$F$2:$F$221,Libro_Diario!$D$2:$D$221,A27)</f>
        <v/>
      </c>
      <c r="D27" s="26">
        <f>SUMIFS(Libro_Diario!$G$2:$G$221,Libro_Diario!$D$2:$D$221,A27)</f>
        <v/>
      </c>
      <c r="E27" s="26">
        <f>MAX(C27-D27,0)</f>
        <v/>
      </c>
      <c r="F27" s="26">
        <f>MAX(D27-C27,0)</f>
        <v/>
      </c>
    </row>
    <row r="28">
      <c r="B28" s="7" t="inlineStr">
        <is>
          <t>TOTALES</t>
        </is>
      </c>
      <c r="C28" s="27">
        <f>SUM(C4:C27)</f>
        <v/>
      </c>
      <c r="D28" s="27">
        <f>SUM(D4:D27)</f>
        <v/>
      </c>
      <c r="E28" s="27">
        <f>SUM(E4:E27)</f>
        <v/>
      </c>
      <c r="F28" s="27">
        <f>SUM(F4:F27)</f>
        <v/>
      </c>
    </row>
    <row r="29">
      <c r="B29" s="7" t="inlineStr">
        <is>
          <t>Control</t>
        </is>
      </c>
      <c r="C29" s="28">
        <f>IF(AND(C28=D28,E28=F28),"OK","Revisar")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7F7F"/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6" customWidth="1" min="3" max="3"/>
    <col width="16" customWidth="1" min="4" max="4"/>
  </cols>
  <sheetData>
    <row r="1">
      <c r="A1" s="19" t="inlineStr">
        <is>
          <t>Balance de prueba al 30 de noviembre de 2026 (automático)</t>
        </is>
      </c>
    </row>
    <row r="3">
      <c r="A3" s="8" t="inlineStr">
        <is>
          <t>Código</t>
        </is>
      </c>
      <c r="B3" s="8" t="inlineStr">
        <is>
          <t>Cuenta</t>
        </is>
      </c>
      <c r="C3" s="8" t="inlineStr">
        <is>
          <t>Débito</t>
        </is>
      </c>
      <c r="D3" s="8" t="inlineStr">
        <is>
          <t>Crédito</t>
        </is>
      </c>
    </row>
    <row r="4">
      <c r="A4" s="25">
        <f>Mayor!A4</f>
        <v/>
      </c>
      <c r="B4" s="25">
        <f>Mayor!B4</f>
        <v/>
      </c>
      <c r="C4" s="26">
        <f>Mayor!E4</f>
        <v/>
      </c>
      <c r="D4" s="26">
        <f>Mayor!F4</f>
        <v/>
      </c>
    </row>
    <row r="5">
      <c r="A5" s="25">
        <f>Mayor!A5</f>
        <v/>
      </c>
      <c r="B5" s="25">
        <f>Mayor!B5</f>
        <v/>
      </c>
      <c r="C5" s="26">
        <f>Mayor!E5</f>
        <v/>
      </c>
      <c r="D5" s="26">
        <f>Mayor!F5</f>
        <v/>
      </c>
    </row>
    <row r="6">
      <c r="A6" s="25">
        <f>Mayor!A6</f>
        <v/>
      </c>
      <c r="B6" s="25">
        <f>Mayor!B6</f>
        <v/>
      </c>
      <c r="C6" s="26">
        <f>Mayor!E6</f>
        <v/>
      </c>
      <c r="D6" s="26">
        <f>Mayor!F6</f>
        <v/>
      </c>
    </row>
    <row r="7">
      <c r="A7" s="25">
        <f>Mayor!A7</f>
        <v/>
      </c>
      <c r="B7" s="25">
        <f>Mayor!B7</f>
        <v/>
      </c>
      <c r="C7" s="26">
        <f>Mayor!E7</f>
        <v/>
      </c>
      <c r="D7" s="26">
        <f>Mayor!F7</f>
        <v/>
      </c>
    </row>
    <row r="8">
      <c r="A8" s="25">
        <f>Mayor!A8</f>
        <v/>
      </c>
      <c r="B8" s="25">
        <f>Mayor!B8</f>
        <v/>
      </c>
      <c r="C8" s="26">
        <f>Mayor!E8</f>
        <v/>
      </c>
      <c r="D8" s="26">
        <f>Mayor!F8</f>
        <v/>
      </c>
    </row>
    <row r="9">
      <c r="A9" s="25">
        <f>Mayor!A9</f>
        <v/>
      </c>
      <c r="B9" s="25">
        <f>Mayor!B9</f>
        <v/>
      </c>
      <c r="C9" s="26">
        <f>Mayor!E9</f>
        <v/>
      </c>
      <c r="D9" s="26">
        <f>Mayor!F9</f>
        <v/>
      </c>
    </row>
    <row r="10">
      <c r="A10" s="25">
        <f>Mayor!A10</f>
        <v/>
      </c>
      <c r="B10" s="25">
        <f>Mayor!B10</f>
        <v/>
      </c>
      <c r="C10" s="26">
        <f>Mayor!E10</f>
        <v/>
      </c>
      <c r="D10" s="26">
        <f>Mayor!F10</f>
        <v/>
      </c>
    </row>
    <row r="11">
      <c r="A11" s="25">
        <f>Mayor!A11</f>
        <v/>
      </c>
      <c r="B11" s="25">
        <f>Mayor!B11</f>
        <v/>
      </c>
      <c r="C11" s="26">
        <f>Mayor!E11</f>
        <v/>
      </c>
      <c r="D11" s="26">
        <f>Mayor!F11</f>
        <v/>
      </c>
    </row>
    <row r="12">
      <c r="A12" s="25">
        <f>Mayor!A12</f>
        <v/>
      </c>
      <c r="B12" s="25">
        <f>Mayor!B12</f>
        <v/>
      </c>
      <c r="C12" s="26">
        <f>Mayor!E12</f>
        <v/>
      </c>
      <c r="D12" s="26">
        <f>Mayor!F12</f>
        <v/>
      </c>
    </row>
    <row r="13">
      <c r="A13" s="25">
        <f>Mayor!A13</f>
        <v/>
      </c>
      <c r="B13" s="25">
        <f>Mayor!B13</f>
        <v/>
      </c>
      <c r="C13" s="26">
        <f>Mayor!E13</f>
        <v/>
      </c>
      <c r="D13" s="26">
        <f>Mayor!F13</f>
        <v/>
      </c>
    </row>
    <row r="14">
      <c r="A14" s="25">
        <f>Mayor!A14</f>
        <v/>
      </c>
      <c r="B14" s="25">
        <f>Mayor!B14</f>
        <v/>
      </c>
      <c r="C14" s="26">
        <f>Mayor!E14</f>
        <v/>
      </c>
      <c r="D14" s="26">
        <f>Mayor!F14</f>
        <v/>
      </c>
    </row>
    <row r="15">
      <c r="A15" s="25">
        <f>Mayor!A15</f>
        <v/>
      </c>
      <c r="B15" s="25">
        <f>Mayor!B15</f>
        <v/>
      </c>
      <c r="C15" s="26">
        <f>Mayor!E15</f>
        <v/>
      </c>
      <c r="D15" s="26">
        <f>Mayor!F15</f>
        <v/>
      </c>
    </row>
    <row r="16">
      <c r="A16" s="25">
        <f>Mayor!A16</f>
        <v/>
      </c>
      <c r="B16" s="25">
        <f>Mayor!B16</f>
        <v/>
      </c>
      <c r="C16" s="26">
        <f>Mayor!E16</f>
        <v/>
      </c>
      <c r="D16" s="26">
        <f>Mayor!F16</f>
        <v/>
      </c>
    </row>
    <row r="17">
      <c r="A17" s="25">
        <f>Mayor!A17</f>
        <v/>
      </c>
      <c r="B17" s="25">
        <f>Mayor!B17</f>
        <v/>
      </c>
      <c r="C17" s="26">
        <f>Mayor!E17</f>
        <v/>
      </c>
      <c r="D17" s="26">
        <f>Mayor!F17</f>
        <v/>
      </c>
    </row>
    <row r="18">
      <c r="A18" s="25">
        <f>Mayor!A18</f>
        <v/>
      </c>
      <c r="B18" s="25">
        <f>Mayor!B18</f>
        <v/>
      </c>
      <c r="C18" s="26">
        <f>Mayor!E18</f>
        <v/>
      </c>
      <c r="D18" s="26">
        <f>Mayor!F18</f>
        <v/>
      </c>
    </row>
    <row r="19">
      <c r="A19" s="25">
        <f>Mayor!A19</f>
        <v/>
      </c>
      <c r="B19" s="25">
        <f>Mayor!B19</f>
        <v/>
      </c>
      <c r="C19" s="26">
        <f>Mayor!E19</f>
        <v/>
      </c>
      <c r="D19" s="26">
        <f>Mayor!F19</f>
        <v/>
      </c>
    </row>
    <row r="20">
      <c r="A20" s="25">
        <f>Mayor!A20</f>
        <v/>
      </c>
      <c r="B20" s="25">
        <f>Mayor!B20</f>
        <v/>
      </c>
      <c r="C20" s="26">
        <f>Mayor!E20</f>
        <v/>
      </c>
      <c r="D20" s="26">
        <f>Mayor!F20</f>
        <v/>
      </c>
    </row>
    <row r="21">
      <c r="A21" s="25">
        <f>Mayor!A21</f>
        <v/>
      </c>
      <c r="B21" s="25">
        <f>Mayor!B21</f>
        <v/>
      </c>
      <c r="C21" s="26">
        <f>Mayor!E21</f>
        <v/>
      </c>
      <c r="D21" s="26">
        <f>Mayor!F21</f>
        <v/>
      </c>
    </row>
    <row r="22">
      <c r="A22" s="25">
        <f>Mayor!A22</f>
        <v/>
      </c>
      <c r="B22" s="25">
        <f>Mayor!B22</f>
        <v/>
      </c>
      <c r="C22" s="26">
        <f>Mayor!E22</f>
        <v/>
      </c>
      <c r="D22" s="26">
        <f>Mayor!F22</f>
        <v/>
      </c>
    </row>
    <row r="23">
      <c r="A23" s="25">
        <f>Mayor!A23</f>
        <v/>
      </c>
      <c r="B23" s="25">
        <f>Mayor!B23</f>
        <v/>
      </c>
      <c r="C23" s="26">
        <f>Mayor!E23</f>
        <v/>
      </c>
      <c r="D23" s="26">
        <f>Mayor!F23</f>
        <v/>
      </c>
    </row>
    <row r="24">
      <c r="A24" s="25">
        <f>Mayor!A24</f>
        <v/>
      </c>
      <c r="B24" s="25">
        <f>Mayor!B24</f>
        <v/>
      </c>
      <c r="C24" s="26">
        <f>Mayor!E24</f>
        <v/>
      </c>
      <c r="D24" s="26">
        <f>Mayor!F24</f>
        <v/>
      </c>
    </row>
    <row r="25">
      <c r="A25" s="25">
        <f>Mayor!A25</f>
        <v/>
      </c>
      <c r="B25" s="25">
        <f>Mayor!B25</f>
        <v/>
      </c>
      <c r="C25" s="26">
        <f>Mayor!E25</f>
        <v/>
      </c>
      <c r="D25" s="26">
        <f>Mayor!F25</f>
        <v/>
      </c>
    </row>
    <row r="26">
      <c r="A26" s="25">
        <f>Mayor!A26</f>
        <v/>
      </c>
      <c r="B26" s="25">
        <f>Mayor!B26</f>
        <v/>
      </c>
      <c r="C26" s="26">
        <f>Mayor!E26</f>
        <v/>
      </c>
      <c r="D26" s="26">
        <f>Mayor!F26</f>
        <v/>
      </c>
    </row>
    <row r="27">
      <c r="A27" s="25">
        <f>Mayor!A27</f>
        <v/>
      </c>
      <c r="B27" s="25">
        <f>Mayor!B27</f>
        <v/>
      </c>
      <c r="C27" s="26">
        <f>Mayor!E27</f>
        <v/>
      </c>
      <c r="D27" s="26">
        <f>Mayor!F27</f>
        <v/>
      </c>
    </row>
    <row r="28">
      <c r="B28" s="7" t="inlineStr">
        <is>
          <t>SUMAS IGUALES</t>
        </is>
      </c>
      <c r="C28" s="27">
        <f>SUM(C4:C27)</f>
        <v/>
      </c>
      <c r="D28" s="27">
        <f>SUM(D4:D27)</f>
        <v/>
      </c>
    </row>
    <row r="29">
      <c r="B29" s="7" t="inlineStr">
        <is>
          <t>Control</t>
        </is>
      </c>
      <c r="C29" s="28">
        <f>IF(C28=D28,"OK","Revisar")</f>
        <v/>
      </c>
    </row>
  </sheetData>
  <conditionalFormatting sqref="C29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7F7F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58" customWidth="1" min="1" max="1"/>
    <col width="20" customWidth="1" min="2" max="2"/>
  </cols>
  <sheetData>
    <row r="1">
      <c r="A1" s="19" t="inlineStr">
        <is>
          <t>Tecno Cedro S.A.S. – Estados financieros al 30 de noviembre de 2026 (automáticos)</t>
        </is>
      </c>
    </row>
    <row r="4">
      <c r="A4" s="18" t="inlineStr">
        <is>
          <t>ESTADO DE RESULTADOS</t>
        </is>
      </c>
      <c r="B4" s="29" t="n"/>
    </row>
    <row r="5">
      <c r="A5" s="12" t="inlineStr">
        <is>
          <t>Ingresos por ventas (4135)</t>
        </is>
      </c>
      <c r="B5" s="26">
        <f>(SUMIFS(Mayor!$F$4:$F$27,Mayor!$A$4:$A$27,4135)-SUMIFS(Mayor!$E$4:$E$27,Mayor!$A$4:$A$27,4135))</f>
        <v/>
      </c>
    </row>
    <row r="6">
      <c r="A6" s="12" t="inlineStr">
        <is>
          <t>(−) Devoluciones en ventas (4175)</t>
        </is>
      </c>
      <c r="B6" s="26">
        <f>(SUMIFS(Mayor!$E$4:$E$27,Mayor!$A$4:$A$27,4175)-SUMIFS(Mayor!$F$4:$F$27,Mayor!$A$4:$A$27,4175))</f>
        <v/>
      </c>
    </row>
    <row r="7">
      <c r="A7" s="7" t="inlineStr">
        <is>
          <t>Ventas netas</t>
        </is>
      </c>
      <c r="B7" s="27">
        <f>B5-B6</f>
        <v/>
      </c>
    </row>
    <row r="8">
      <c r="A8" s="12" t="inlineStr">
        <is>
          <t>(−) Costo de ventas (6135)</t>
        </is>
      </c>
      <c r="B8" s="26">
        <f>(SUMIFS(Mayor!$E$4:$E$27,Mayor!$A$4:$A$27,6135)-SUMIFS(Mayor!$F$4:$F$27,Mayor!$A$4:$A$27,6135))</f>
        <v/>
      </c>
    </row>
    <row r="9">
      <c r="A9" s="7" t="inlineStr">
        <is>
          <t>UTILIDAD BRUTA</t>
        </is>
      </c>
      <c r="B9" s="27">
        <f>B7-B8</f>
        <v/>
      </c>
    </row>
    <row r="10">
      <c r="A10" s="12" t="inlineStr">
        <is>
          <t>Gastos de personal (5105)</t>
        </is>
      </c>
      <c r="B10" s="26">
        <f>(SUMIFS(Mayor!$E$4:$E$27,Mayor!$A$4:$A$27,5105)-SUMIFS(Mayor!$F$4:$F$27,Mayor!$A$4:$A$27,5105))</f>
        <v/>
      </c>
    </row>
    <row r="11">
      <c r="A11" s="12" t="inlineStr">
        <is>
          <t>Arrendamientos (5120)</t>
        </is>
      </c>
      <c r="B11" s="26">
        <f>(SUMIFS(Mayor!$E$4:$E$27,Mayor!$A$4:$A$27,5120)-SUMIFS(Mayor!$F$4:$F$27,Mayor!$A$4:$A$27,5120))</f>
        <v/>
      </c>
    </row>
    <row r="12">
      <c r="A12" s="12" t="inlineStr">
        <is>
          <t>Servicios (5135)</t>
        </is>
      </c>
      <c r="B12" s="26">
        <f>(SUMIFS(Mayor!$E$4:$E$27,Mayor!$A$4:$A$27,5135)-SUMIFS(Mayor!$F$4:$F$27,Mayor!$A$4:$A$27,5135))</f>
        <v/>
      </c>
    </row>
    <row r="13">
      <c r="A13" s="12" t="inlineStr">
        <is>
          <t>Mantenimiento y reparaciones (5145)</t>
        </is>
      </c>
      <c r="B13" s="26">
        <f>(SUMIFS(Mayor!$E$4:$E$27,Mayor!$A$4:$A$27,5145)-SUMIFS(Mayor!$F$4:$F$27,Mayor!$A$4:$A$27,5145))</f>
        <v/>
      </c>
    </row>
    <row r="14">
      <c r="A14" s="12" t="inlineStr">
        <is>
          <t>Depreciaciones (5160)</t>
        </is>
      </c>
      <c r="B14" s="26">
        <f>(SUMIFS(Mayor!$E$4:$E$27,Mayor!$A$4:$A$27,5160)-SUMIFS(Mayor!$F$4:$F$27,Mayor!$A$4:$A$27,5160))</f>
        <v/>
      </c>
    </row>
    <row r="15">
      <c r="A15" s="12" t="inlineStr">
        <is>
          <t>Impuestos – GMF (5115)</t>
        </is>
      </c>
      <c r="B15" s="26">
        <f>(SUMIFS(Mayor!$E$4:$E$27,Mayor!$A$4:$A$27,5115)-SUMIFS(Mayor!$F$4:$F$27,Mayor!$A$4:$A$27,5115))</f>
        <v/>
      </c>
    </row>
    <row r="16">
      <c r="A16" s="12" t="inlineStr">
        <is>
          <t>Diversos (5195)</t>
        </is>
      </c>
      <c r="B16" s="26">
        <f>(SUMIFS(Mayor!$E$4:$E$27,Mayor!$A$4:$A$27,5195)-SUMIFS(Mayor!$F$4:$F$27,Mayor!$A$4:$A$27,5195))</f>
        <v/>
      </c>
    </row>
    <row r="17">
      <c r="A17" s="7" t="inlineStr">
        <is>
          <t>Total gastos operacionales</t>
        </is>
      </c>
      <c r="B17" s="27">
        <f>SUM(B10:B16)</f>
        <v/>
      </c>
    </row>
    <row r="18">
      <c r="A18" s="7" t="inlineStr">
        <is>
          <t>UTILIDAD OPERACIONAL</t>
        </is>
      </c>
      <c r="B18" s="27">
        <f>B9-B17</f>
        <v/>
      </c>
    </row>
    <row r="19">
      <c r="A19" s="12" t="inlineStr">
        <is>
          <t>(+) Ingresos financieros (4210)</t>
        </is>
      </c>
      <c r="B19" s="26">
        <f>(SUMIFS(Mayor!$F$4:$F$27,Mayor!$A$4:$A$27,4210)-SUMIFS(Mayor!$E$4:$E$27,Mayor!$A$4:$A$27,4210))</f>
        <v/>
      </c>
    </row>
    <row r="20">
      <c r="A20" s="12" t="inlineStr">
        <is>
          <t>(+) Ingresos diversos (4295)</t>
        </is>
      </c>
      <c r="B20" s="26">
        <f>(SUMIFS(Mayor!$F$4:$F$27,Mayor!$A$4:$A$27,4295)-SUMIFS(Mayor!$E$4:$E$27,Mayor!$A$4:$A$27,4295))</f>
        <v/>
      </c>
    </row>
    <row r="21">
      <c r="A21" s="12" t="inlineStr">
        <is>
          <t>(−) Gastos financieros (5305)</t>
        </is>
      </c>
      <c r="B21" s="26">
        <f>(SUMIFS(Mayor!$E$4:$E$27,Mayor!$A$4:$A$27,5305)-SUMIFS(Mayor!$F$4:$F$27,Mayor!$A$4:$A$27,5305))</f>
        <v/>
      </c>
    </row>
    <row r="22">
      <c r="A22" s="7" t="inlineStr">
        <is>
          <t>UTILIDAD NETA DEL PERIODO (sin impuesto de renta)</t>
        </is>
      </c>
      <c r="B22" s="27">
        <f>B18+B19+B20-B21</f>
        <v/>
      </c>
    </row>
    <row r="23">
      <c r="A23" s="12" t="inlineStr"/>
    </row>
    <row r="24">
      <c r="A24" s="18" t="inlineStr">
        <is>
          <t>BALANCE GENERAL</t>
        </is>
      </c>
      <c r="B24" s="29" t="n"/>
    </row>
    <row r="25">
      <c r="A25" s="12" t="inlineStr">
        <is>
          <t>Caja (1105)</t>
        </is>
      </c>
      <c r="B25" s="26">
        <f>(SUMIFS(Mayor!$E$4:$E$27,Mayor!$A$4:$A$27,1105)-SUMIFS(Mayor!$F$4:$F$27,Mayor!$A$4:$A$27,1105))</f>
        <v/>
      </c>
    </row>
    <row r="26">
      <c r="A26" s="12" t="inlineStr">
        <is>
          <t>Bancos (1110)</t>
        </is>
      </c>
      <c r="B26" s="26">
        <f>(SUMIFS(Mayor!$E$4:$E$27,Mayor!$A$4:$A$27,1110)-SUMIFS(Mayor!$F$4:$F$27,Mayor!$A$4:$A$27,1110))</f>
        <v/>
      </c>
    </row>
    <row r="27">
      <c r="A27" s="12" t="inlineStr">
        <is>
          <t>Clientes (1305)</t>
        </is>
      </c>
      <c r="B27" s="26">
        <f>(SUMIFS(Mayor!$E$4:$E$27,Mayor!$A$4:$A$27,1305)-SUMIFS(Mayor!$F$4:$F$27,Mayor!$A$4:$A$27,1305))</f>
        <v/>
      </c>
    </row>
    <row r="28">
      <c r="A28" s="12" t="inlineStr">
        <is>
          <t>Inventarios (1435)</t>
        </is>
      </c>
      <c r="B28" s="26">
        <f>(SUMIFS(Mayor!$E$4:$E$27,Mayor!$A$4:$A$27,1435)-SUMIFS(Mayor!$F$4:$F$27,Mayor!$A$4:$A$27,1435))</f>
        <v/>
      </c>
    </row>
    <row r="29">
      <c r="A29" s="12" t="inlineStr">
        <is>
          <t>IVA a favor (saldo deudor de 2408)</t>
        </is>
      </c>
      <c r="B29" s="26">
        <f>SUMIFS(Mayor!$E$4:$E$27,Mayor!$A$4:$A$27,2408)</f>
        <v/>
      </c>
    </row>
    <row r="30">
      <c r="A30" s="12" t="inlineStr">
        <is>
          <t>Equipo de computación (1528)</t>
        </is>
      </c>
      <c r="B30" s="26">
        <f>(SUMIFS(Mayor!$E$4:$E$27,Mayor!$A$4:$A$27,1528)-SUMIFS(Mayor!$F$4:$F$27,Mayor!$A$4:$A$27,1528))</f>
        <v/>
      </c>
    </row>
    <row r="31">
      <c r="A31" s="12" t="inlineStr">
        <is>
          <t>(−) Depreciación acumulada (1592)</t>
        </is>
      </c>
      <c r="B31" s="26">
        <f>(SUMIFS(Mayor!$F$4:$F$27,Mayor!$A$4:$A$27,1592)-SUMIFS(Mayor!$E$4:$E$27,Mayor!$A$4:$A$27,1592))</f>
        <v/>
      </c>
    </row>
    <row r="32">
      <c r="A32" s="7" t="inlineStr">
        <is>
          <t>TOTAL ACTIVOS</t>
        </is>
      </c>
      <c r="B32" s="27">
        <f>SUM(B25:B30)-B31</f>
        <v/>
      </c>
    </row>
    <row r="33">
      <c r="A33" s="12" t="inlineStr">
        <is>
          <t>Proveedores (2205)</t>
        </is>
      </c>
      <c r="B33" s="26">
        <f>(SUMIFS(Mayor!$F$4:$F$27,Mayor!$A$4:$A$27,2205)-SUMIFS(Mayor!$E$4:$E$27,Mayor!$A$4:$A$27,2205))</f>
        <v/>
      </c>
    </row>
    <row r="34">
      <c r="A34" s="12" t="inlineStr">
        <is>
          <t>Retenciones y aportes de nómina (2370)</t>
        </is>
      </c>
      <c r="B34" s="26">
        <f>(SUMIFS(Mayor!$F$4:$F$27,Mayor!$A$4:$A$27,2370)-SUMIFS(Mayor!$E$4:$E$27,Mayor!$A$4:$A$27,2370))</f>
        <v/>
      </c>
    </row>
    <row r="35">
      <c r="A35" s="12" t="inlineStr">
        <is>
          <t>Salarios por pagar (2505)</t>
        </is>
      </c>
      <c r="B35" s="26">
        <f>(SUMIFS(Mayor!$F$4:$F$27,Mayor!$A$4:$A$27,2505)-SUMIFS(Mayor!$E$4:$E$27,Mayor!$A$4:$A$27,2505))</f>
        <v/>
      </c>
    </row>
    <row r="36">
      <c r="A36" s="12" t="inlineStr">
        <is>
          <t>IVA por pagar (saldo acreedor de 2408)</t>
        </is>
      </c>
      <c r="B36" s="26">
        <f>SUMIFS(Mayor!$F$4:$F$27,Mayor!$A$4:$A$27,2408)</f>
        <v/>
      </c>
    </row>
    <row r="37">
      <c r="A37" s="7" t="inlineStr">
        <is>
          <t>TOTAL PASIVOS</t>
        </is>
      </c>
      <c r="B37" s="27">
        <f>SUM(B33:B36)</f>
        <v/>
      </c>
    </row>
    <row r="38">
      <c r="A38" s="12" t="inlineStr">
        <is>
          <t>Capital (3105)</t>
        </is>
      </c>
      <c r="B38" s="26">
        <f>(SUMIFS(Mayor!$F$4:$F$27,Mayor!$A$4:$A$27,3105)-SUMIFS(Mayor!$E$4:$E$27,Mayor!$A$4:$A$27,3105))</f>
        <v/>
      </c>
    </row>
    <row r="39">
      <c r="A39" s="12" t="inlineStr">
        <is>
          <t>Utilidad del periodo</t>
        </is>
      </c>
      <c r="B39" s="26">
        <f>B22</f>
        <v/>
      </c>
    </row>
    <row r="40">
      <c r="A40" s="7" t="inlineStr">
        <is>
          <t>TOTAL PATRIMONIO</t>
        </is>
      </c>
      <c r="B40" s="27">
        <f>B38+B39</f>
        <v/>
      </c>
    </row>
    <row r="41">
      <c r="A41" s="7" t="inlineStr">
        <is>
          <t>TOTAL PASIVOS + PATRIMONIO</t>
        </is>
      </c>
      <c r="B41" s="27">
        <f>B37+B40</f>
        <v/>
      </c>
    </row>
    <row r="42">
      <c r="A42" s="7" t="inlineStr">
        <is>
          <t>Control: activos = pasivos + patrimonio</t>
        </is>
      </c>
      <c r="B42" s="30">
        <f>IF(B32=B41,"OK","Revisar")</f>
        <v/>
      </c>
    </row>
  </sheetData>
  <conditionalFormatting sqref="B42">
    <cfRule type="cellIs" priority="1" operator="equal" dxfId="0">
      <formula>"OK"</formula>
    </cfRule>
    <cfRule type="cellIs" priority="2" operator="equal" dxfId="1">
      <formula>"Revisar"</formula>
    </cfRule>
  </conditionalFormatting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8" t="inlineStr">
        <is>
          <t>Parámetro</t>
        </is>
      </c>
      <c r="B1" s="18" t="inlineStr">
        <is>
          <t>Valor</t>
        </is>
      </c>
    </row>
    <row r="2">
      <c r="A2" s="12" t="inlineStr">
        <is>
          <t>Tarifa IVA</t>
        </is>
      </c>
      <c r="B2" s="31" t="n">
        <v>0.19</v>
      </c>
    </row>
    <row r="3">
      <c r="A3" s="12" t="inlineStr">
        <is>
          <t>Aporte salud del empleado</t>
        </is>
      </c>
      <c r="B3" s="31" t="n">
        <v>0.04</v>
      </c>
    </row>
    <row r="4">
      <c r="A4" s="12" t="inlineStr">
        <is>
          <t>Aporte pensión del empleado</t>
        </is>
      </c>
      <c r="B4" s="31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2026-10-29T03:13:33Z</dcterms:created>
  <dcterms:modified xmlns:dcterms="http://purl.org/dc/terms/" xmlns:xsi="http://www.w3.org/2001/XMLSchema-instance" xsi:type="dcterms:W3CDTF">2026-10-29T03:13:33Z</dcterms:modified>
</cp:coreProperties>
</file>